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ictedubs.sharepoint.com/sites/school_gymgb9/Freigegebene Dokumente/Informationen und Unterlagen/Administrative Unterlagen/Maturaarbeit/"/>
    </mc:Choice>
  </mc:AlternateContent>
  <xr:revisionPtr revIDLastSave="3" documentId="11_710829574F36EC701DB06192179AAB092D135CAA" xr6:coauthVersionLast="47" xr6:coauthVersionMax="47" xr10:uidLastSave="{15D6BCA1-DEBA-4088-8B90-44846DEC769A}"/>
  <workbookProtection workbookPassword="9C1D" lockStructure="1"/>
  <bookViews>
    <workbookView xWindow="-96" yWindow="-96" windowWidth="23232" windowHeight="13152" xr2:uid="{00000000-000D-0000-FFFF-FFFF00000000}"/>
  </bookViews>
  <sheets>
    <sheet name="Tabelle1" sheetId="1" r:id="rId1"/>
    <sheet name="Diagramm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5" i="1" l="1"/>
  <c r="T46" i="1"/>
  <c r="S42" i="1"/>
  <c r="T43" i="1" s="1"/>
  <c r="S40" i="1"/>
  <c r="T40" i="1"/>
  <c r="S38" i="1"/>
  <c r="T38" i="1"/>
  <c r="S34" i="1"/>
  <c r="T35" i="1" s="1"/>
  <c r="S27" i="1"/>
  <c r="T28" i="1"/>
  <c r="S22" i="1"/>
  <c r="T24" i="1"/>
  <c r="C27" i="1"/>
  <c r="C22" i="1"/>
  <c r="C34" i="1"/>
  <c r="C38" i="1"/>
  <c r="C32" i="1"/>
  <c r="H18" i="1"/>
  <c r="C45" i="1"/>
  <c r="C42" i="1"/>
  <c r="C40" i="1"/>
  <c r="C37" i="1"/>
  <c r="C33" i="1"/>
  <c r="M17" i="1"/>
  <c r="K17" i="1"/>
  <c r="J11" i="1"/>
  <c r="H12" i="1"/>
  <c r="J9" i="1"/>
  <c r="H10" i="1"/>
  <c r="T32" i="1"/>
  <c r="T33" i="1"/>
  <c r="T37" i="1"/>
  <c r="S47" i="1" l="1"/>
  <c r="N16" i="1"/>
  <c r="S30" i="1"/>
  <c r="H16" i="1" s="1"/>
  <c r="N15" i="1"/>
  <c r="S20" i="1"/>
  <c r="H15" i="1" s="1"/>
  <c r="L17" i="1" l="1"/>
  <c r="H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Valued Acer Customer</author>
  </authors>
  <commentList>
    <comment ref="H17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Zur Anzeige der </t>
        </r>
        <r>
          <rPr>
            <u/>
            <sz val="8"/>
            <color indexed="81"/>
            <rFont val="Tahoma"/>
            <family val="2"/>
          </rPr>
          <t>un</t>
        </r>
        <r>
          <rPr>
            <sz val="8"/>
            <color indexed="81"/>
            <rFont val="Tahoma"/>
            <family val="2"/>
          </rPr>
          <t>gerundeten Note:
Setze ein "x" rechts neben die gerundete Note!</t>
        </r>
      </text>
    </comment>
  </commentList>
</comments>
</file>

<file path=xl/sharedStrings.xml><?xml version="1.0" encoding="utf-8"?>
<sst xmlns="http://schemas.openxmlformats.org/spreadsheetml/2006/main" count="163" uniqueCount="160">
  <si>
    <t>Bewertung der Maturaarbeit Produkt/Kreation</t>
  </si>
  <si>
    <t>Name:</t>
  </si>
  <si>
    <t>Klasse:</t>
  </si>
  <si>
    <t xml:space="preserve">Datum:  </t>
  </si>
  <si>
    <t>Titel:</t>
  </si>
  <si>
    <t>Gewichtung Prozess (20/25/30/35/40%):</t>
  </si>
  <si>
    <t>Gewichtung Produkt (80/75/70/65/60%):</t>
  </si>
  <si>
    <t>Gewicht. Phys. Prod. (20-80% in 5er Schritten):</t>
  </si>
  <si>
    <t>Gewicht. Begleittext (20-80% in 5er Schritten):</t>
  </si>
  <si>
    <t>Note Prozess:</t>
  </si>
  <si>
    <t>Note physikalisches Produkt:</t>
  </si>
  <si>
    <t>Note Produkt:</t>
  </si>
  <si>
    <t>Note Begleittext:</t>
  </si>
  <si>
    <t>Gesamtnote:</t>
  </si>
  <si>
    <t>x</t>
  </si>
  <si>
    <t>Bewertung:</t>
  </si>
  <si>
    <t>Punkte</t>
  </si>
  <si>
    <t>Prozess</t>
  </si>
  <si>
    <t xml:space="preserve">überdurchschnittlicher Einsatz 
</t>
  </si>
  <si>
    <t xml:space="preserve">guter Einsatz
 </t>
  </si>
  <si>
    <t xml:space="preserve">Einsatz befriedigend   
</t>
  </si>
  <si>
    <t>Einsatz gering</t>
  </si>
  <si>
    <t>kein Einsatz</t>
  </si>
  <si>
    <t xml:space="preserve">Interessenlosigkeit 
 </t>
  </si>
  <si>
    <t xml:space="preserve">sehr selbständig, besonders initiativ </t>
  </si>
  <si>
    <t>selbständig, initiativ</t>
  </si>
  <si>
    <t xml:space="preserve">selbständig </t>
  </si>
  <si>
    <t>eher unselbständig</t>
  </si>
  <si>
    <t>ziemlich unselbstständig</t>
  </si>
  <si>
    <t>unselbständig</t>
  </si>
  <si>
    <t>aktiv und flexibel in der Zusammenarbeit</t>
  </si>
  <si>
    <t>gute Zusammenarbeit</t>
  </si>
  <si>
    <t>ausreichende Zusammenarbeit</t>
  </si>
  <si>
    <t>mangelnde Zusammenarbeit</t>
  </si>
  <si>
    <t>fehlende Zusammenarbeit</t>
  </si>
  <si>
    <t>geht Zusammenarbeit aus dem Weg</t>
  </si>
  <si>
    <t>sehr guter und überlegter Umgang mit Schwierigkeiten</t>
  </si>
  <si>
    <t>guter Umgang mit  Schwierigkeiten</t>
  </si>
  <si>
    <t>kann Schwierigkeiten bearbeiten</t>
  </si>
  <si>
    <t>unselbständiges Bearbeiten von Schwierigkeiten</t>
  </si>
  <si>
    <t>geht Schwierigkeiten aus dem Weg</t>
  </si>
  <si>
    <t>kein Problembewusstsein</t>
  </si>
  <si>
    <t>Abmachungen werden vollständig eingehalten</t>
  </si>
  <si>
    <t>Abmachungen werden meist eingehalten</t>
  </si>
  <si>
    <t>Abmachungen werden teilweise eingehalten</t>
  </si>
  <si>
    <t>Abmachungen werden kaum eingehalten</t>
  </si>
  <si>
    <t>Abmachungen werden nicht eingehalten</t>
  </si>
  <si>
    <t xml:space="preserve">durchgehend nachvollziehbarer Prozess </t>
  </si>
  <si>
    <t>durchgehend nachvollziehbarer Prozess</t>
  </si>
  <si>
    <t xml:space="preserve">Prozess mehrheitlich nachvollziehbar </t>
  </si>
  <si>
    <t>Prozess nicht durchgehend nachvollziehbar</t>
  </si>
  <si>
    <t>Prozess kaum nachvollziehbar</t>
  </si>
  <si>
    <t xml:space="preserve">Prozess nicht nachvollziehbar </t>
  </si>
  <si>
    <t>kritische Auseinandersetzung mit der eigenen Arbeit</t>
  </si>
  <si>
    <t>mehrheitlich kritische Auseinandersetzung mit der eigenen Arbeit</t>
  </si>
  <si>
    <t>teilweise kritische Auseinandersetzung mit der eigenen Arbeit</t>
  </si>
  <si>
    <t>kritische Auseinandersetzung mit der eigenen Arbeit macht Mühe</t>
  </si>
  <si>
    <t>kritische Auseinandersetzung mit der eigenen Arbeit fehlt meistens</t>
  </si>
  <si>
    <t>kritische Auseinandersetzung mit der eigenen Arbeit fehlt</t>
  </si>
  <si>
    <t>entwickelt eigenständig folgerichtige Schritte zum Ziel</t>
  </si>
  <si>
    <t>Schritte zum Ziel folgerichtig entwickelt</t>
  </si>
  <si>
    <t>entwickelt Schritte nicht immer folgerichtig</t>
  </si>
  <si>
    <t>fixiert auf Vorgaben</t>
  </si>
  <si>
    <t>kann Vorgaben nur selten umsetzen</t>
  </si>
  <si>
    <t>unbeweglich</t>
  </si>
  <si>
    <t>Produkt</t>
  </si>
  <si>
    <t>Phys. Produkt (Modell / Kreation)</t>
  </si>
  <si>
    <t xml:space="preserve">vertiefte Kenntnisse, umfas-sendes Verständnis und Sachkompetenz vorhanden </t>
  </si>
  <si>
    <t>Kenntnisse, Verständnis und Sachkompetenz auf gutem Niveau</t>
  </si>
  <si>
    <t>Kenntnisse, Verständnis und Sachkompetenz ausreichend vorhanden</t>
  </si>
  <si>
    <t xml:space="preserve">Kenntnisse, Verständnis und Sachkompetenz  lückenhaft        
</t>
  </si>
  <si>
    <t xml:space="preserve">schwere Mängel an Kenntnissen und Verständnis                    sachlich oft unkorrekt </t>
  </si>
  <si>
    <t>keine Kenntnisse und Sachkompetenz vorhanden</t>
  </si>
  <si>
    <t>Vorgaben vollständig eingehalten</t>
  </si>
  <si>
    <t>Vorgaben mit wenigen Ausnahmen eingehalten</t>
  </si>
  <si>
    <t>Vorgaben nur teilweise eingehalten</t>
  </si>
  <si>
    <t>Einhaltung der Vorgaben unbefriedigend</t>
  </si>
  <si>
    <t>nur selten Einhaltung der Vorgaben</t>
  </si>
  <si>
    <t>Vorgaben werden nicht eingehalten</t>
  </si>
  <si>
    <t>Produkt erfüllt seine Funktion voll und ganz</t>
  </si>
  <si>
    <t>Funktion wird weitgehend erfüllt</t>
  </si>
  <si>
    <t>Funktion wird teilweise erfüllt</t>
  </si>
  <si>
    <t>Funktion wird nur unbefriedigend erfüllt</t>
  </si>
  <si>
    <t>Funktion weist schwere Mängel auf</t>
  </si>
  <si>
    <t>Funktion wird nicht erfüllt</t>
  </si>
  <si>
    <t>Sehr originelle und durchdachte Lösung</t>
  </si>
  <si>
    <t>Originelle Lösung, aber nicht ganz zu Ende gedacht</t>
  </si>
  <si>
    <t>Solide Arbeit mit einigen Ideen</t>
  </si>
  <si>
    <t>Im Produkt steckt wenig eigene Kreativität</t>
  </si>
  <si>
    <t>Ausgetretene Pfade kopiert</t>
  </si>
  <si>
    <t>Eigenleistung am Produkt fehlt</t>
  </si>
  <si>
    <t>Die gewählte Lösung macht durchwegs Sinn</t>
  </si>
  <si>
    <t>Die gewählte Lösung macht überwiegend Sinn</t>
  </si>
  <si>
    <t>Die gewählte Lösung ist  nachvollziehbar</t>
  </si>
  <si>
    <t>Die gewählte Lösung ist nur in Ansätzen sinnvoll</t>
  </si>
  <si>
    <t>Die gewählte Lösung ist kaum nachvollziehbar</t>
  </si>
  <si>
    <t>Die gewählte Lösung ist nicht nachvollziehbar</t>
  </si>
  <si>
    <t>Mit viel Liebe zum Detail, geht deutlich übers nötige Minimum hinaus</t>
  </si>
  <si>
    <t>Hangwerklich solide Arbeit</t>
  </si>
  <si>
    <t>Handwerklich brauchbare Arbeit, aber teilweise etwas schludrig</t>
  </si>
  <si>
    <t>Weist handwerklich erhebliche Mängel auf</t>
  </si>
  <si>
    <t>Lieblose, schnell erledigte Arbeit</t>
  </si>
  <si>
    <t>handwerkliche Qualität nicht vorhanden</t>
  </si>
  <si>
    <t>Begleittext</t>
  </si>
  <si>
    <t xml:space="preserve">sehr gute, logische und umfassende Vernetzung </t>
  </si>
  <si>
    <t>gute und logische Vernetzung</t>
  </si>
  <si>
    <t>Vernetzung vorhanden, aber unvollständig oder teilweise unlogisch</t>
  </si>
  <si>
    <t>kaum Vernetzung erkennbar</t>
  </si>
  <si>
    <t>kaum Vernetzung erkennbar und wenn fehlerhaft</t>
  </si>
  <si>
    <t>Vernetzung ist nicht vorhanden</t>
  </si>
  <si>
    <t>Optimale Quellenwahl bezüglich Theorie</t>
  </si>
  <si>
    <t>Gute Quellenwahl bezüglich Theorie</t>
  </si>
  <si>
    <t>Quellenwahl bezüglich Theorie genügend</t>
  </si>
  <si>
    <t>Quellenwahl bezüglich Theorie ungenügend</t>
  </si>
  <si>
    <t>Schlechte Quellenwahl bezüglich Theorie</t>
  </si>
  <si>
    <t>Quellenwahl bezüglich Theorie nicht vorhanden</t>
  </si>
  <si>
    <t xml:space="preserve">gewandt und präzise im Ausdruck, leicht verständlich, gut strukturiert          </t>
  </si>
  <si>
    <t>angemessener sprachlicher Ausdruck, leicht verständlich, strukturiert</t>
  </si>
  <si>
    <t>verständlich, aber mangelhaft in Ausdruck und Struktur</t>
  </si>
  <si>
    <t xml:space="preserve">Verständnis erschwert, gravierende Mängel in Ausdruck </t>
  </si>
  <si>
    <t>nur mit Mühe verständlich, Struktur nicht ersichtlich</t>
  </si>
  <si>
    <t>unverständlich</t>
  </si>
  <si>
    <t>grammatikalisch und orthographisch fehlerfrei</t>
  </si>
  <si>
    <t>vereinzelt inkorrekt in Grammatik und Orthographie</t>
  </si>
  <si>
    <t>grammatikalisch und orthographisch genügend</t>
  </si>
  <si>
    <t>grammatikalisch und orthographisch ungenügend</t>
  </si>
  <si>
    <t>grammatikalisch und orthographisch mangelhaft</t>
  </si>
  <si>
    <t>gravierende Mängel in Grammatik und Orthographie</t>
  </si>
  <si>
    <t xml:space="preserve">besonders anschauliches, sorgfältiges und einheitliches Layout                                   </t>
  </si>
  <si>
    <t xml:space="preserve">anschauliches und einheitliches Layout  
</t>
  </si>
  <si>
    <t xml:space="preserve">einheitliches Layout   
</t>
  </si>
  <si>
    <t xml:space="preserve">zum Teil uneinheitliches Layout                   
 </t>
  </si>
  <si>
    <t>uneinheitliches Layout</t>
  </si>
  <si>
    <t xml:space="preserve">unsorgfältiges Layout     
</t>
  </si>
  <si>
    <t>Bildqualität ausgezeichnet</t>
  </si>
  <si>
    <t>Bildqualität gut</t>
  </si>
  <si>
    <t>Bildqualität genügend</t>
  </si>
  <si>
    <t>Bildqualität unzureichend</t>
  </si>
  <si>
    <t xml:space="preserve">schlechte Bildqualität  </t>
  </si>
  <si>
    <t>Bilder nicht erkennbar</t>
  </si>
  <si>
    <t>Verknüpfung von Text und Bild optimal eingebaut</t>
  </si>
  <si>
    <t>Verknüpfung von Text und Bild ist logisch und an geeigneter Stelle</t>
  </si>
  <si>
    <t>Verknüpfung von Text und Bild ist meist logisch und an geeigneter Stelle</t>
  </si>
  <si>
    <t>Text/Bildbezug teilweise unlogisch und an ungeeigneter Stelle</t>
  </si>
  <si>
    <t>Text/Bildbezug kaum sichtbar</t>
  </si>
  <si>
    <t>kein Text/Bildbezug</t>
  </si>
  <si>
    <t>vollumfänglich erfüllt</t>
  </si>
  <si>
    <t xml:space="preserve">kleine Mängel </t>
  </si>
  <si>
    <t>genügend</t>
  </si>
  <si>
    <t xml:space="preserve">ungenügend </t>
  </si>
  <si>
    <t>grobe Mängel</t>
  </si>
  <si>
    <t>nicht vorhanden</t>
  </si>
  <si>
    <t>Ausgesprochen übersichtliche, vollständige und korrekte Quellen- und Literaturangaben</t>
  </si>
  <si>
    <t>vollständige und korrekte Quellen- und Literaturangaben</t>
  </si>
  <si>
    <t>kleinere Lücken oder wenig systematische Quellen- und Literaturangaben</t>
  </si>
  <si>
    <t>unvollständige, fehlerhafte oder unsystematische Quellen- und Literaturangaben</t>
  </si>
  <si>
    <t>mangelhafte, fehlerhafte oder unsystematische Quellen- und Literaturangaben</t>
  </si>
  <si>
    <t>fehlende Quellen- und Literaturangaben</t>
  </si>
  <si>
    <t>(Ort und Datum)</t>
  </si>
  <si>
    <t>(Unterschrift der Lehrperson)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</si>
</sst>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4"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6"/>
      <color indexed="8"/>
      <name val="Arial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u/>
      <sz val="12"/>
      <name val="Arial"/>
      <family val="2"/>
    </font>
    <font>
      <sz val="7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8"/>
      <color indexed="81"/>
      <name val="Tahoma"/>
      <family val="2"/>
    </font>
    <font>
      <sz val="11"/>
      <name val="Arial"/>
      <family val="2"/>
    </font>
    <font>
      <u/>
      <sz val="8"/>
      <color indexed="81"/>
      <name val="Tahoma"/>
      <family val="2"/>
    </font>
    <font>
      <sz val="12"/>
      <color indexed="8"/>
      <name val="Arial"/>
      <family val="2"/>
    </font>
    <font>
      <sz val="16"/>
      <color indexed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55"/>
        <bgColor indexed="23"/>
      </patternFill>
    </fill>
  </fills>
  <borders count="6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8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/>
      <top style="hair">
        <color indexed="8"/>
      </top>
      <bottom style="medium">
        <color indexed="64"/>
      </bottom>
      <diagonal/>
    </border>
    <border>
      <left/>
      <right style="medium">
        <color indexed="8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/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hair">
        <color indexed="8"/>
      </bottom>
      <diagonal/>
    </border>
    <border>
      <left/>
      <right style="medium">
        <color indexed="8"/>
      </right>
      <top style="medium">
        <color indexed="64"/>
      </top>
      <bottom style="hair">
        <color indexed="8"/>
      </bottom>
      <diagonal/>
    </border>
  </borders>
  <cellStyleXfs count="24">
    <xf numFmtId="0" fontId="0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1" applyNumberFormat="0" applyAlignment="0" applyProtection="0"/>
    <xf numFmtId="0" fontId="3" fillId="12" borderId="2" applyNumberFormat="0" applyAlignment="0" applyProtection="0"/>
    <xf numFmtId="0" fontId="4" fillId="5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13" borderId="0" applyNumberFormat="0" applyBorder="0" applyAlignment="0" applyProtection="0"/>
    <xf numFmtId="0" fontId="28" fillId="14" borderId="4" applyNumberFormat="0" applyAlignment="0" applyProtection="0"/>
    <xf numFmtId="0" fontId="9" fillId="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15" borderId="9" applyNumberFormat="0" applyAlignment="0" applyProtection="0"/>
  </cellStyleXfs>
  <cellXfs count="157">
    <xf numFmtId="0" fontId="0" fillId="0" borderId="0" xfId="0"/>
    <xf numFmtId="0" fontId="17" fillId="0" borderId="0" xfId="0" applyFont="1"/>
    <xf numFmtId="2" fontId="0" fillId="0" borderId="0" xfId="0" applyNumberFormat="1"/>
    <xf numFmtId="0" fontId="18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19" fillId="0" borderId="0" xfId="0" applyFont="1" applyFill="1" applyProtection="1">
      <protection hidden="1"/>
    </xf>
    <xf numFmtId="0" fontId="17" fillId="0" borderId="0" xfId="0" applyFont="1" applyProtection="1">
      <protection hidden="1"/>
    </xf>
    <xf numFmtId="2" fontId="19" fillId="0" borderId="0" xfId="0" applyNumberFormat="1" applyFont="1" applyProtection="1">
      <protection hidden="1"/>
    </xf>
    <xf numFmtId="0" fontId="19" fillId="0" borderId="0" xfId="0" applyFont="1"/>
    <xf numFmtId="0" fontId="19" fillId="0" borderId="10" xfId="0" applyFont="1" applyBorder="1" applyProtection="1">
      <protection hidden="1"/>
    </xf>
    <xf numFmtId="0" fontId="17" fillId="0" borderId="10" xfId="0" applyFont="1" applyBorder="1" applyProtection="1">
      <protection hidden="1"/>
    </xf>
    <xf numFmtId="2" fontId="19" fillId="0" borderId="10" xfId="0" applyNumberFormat="1" applyFont="1" applyBorder="1" applyProtection="1">
      <protection hidden="1"/>
    </xf>
    <xf numFmtId="0" fontId="19" fillId="0" borderId="0" xfId="0" applyFont="1" applyBorder="1" applyProtection="1">
      <protection hidden="1"/>
    </xf>
    <xf numFmtId="0" fontId="17" fillId="0" borderId="0" xfId="0" applyFont="1" applyBorder="1" applyProtection="1">
      <protection hidden="1"/>
    </xf>
    <xf numFmtId="2" fontId="19" fillId="0" borderId="0" xfId="0" applyNumberFormat="1" applyFont="1" applyBorder="1" applyProtection="1">
      <protection hidden="1"/>
    </xf>
    <xf numFmtId="0" fontId="19" fillId="0" borderId="0" xfId="0" applyFont="1" applyBorder="1" applyAlignment="1" applyProtection="1">
      <protection hidden="1"/>
    </xf>
    <xf numFmtId="0" fontId="21" fillId="4" borderId="0" xfId="0" applyFont="1" applyFill="1" applyBorder="1" applyProtection="1">
      <protection locked="0" hidden="1"/>
    </xf>
    <xf numFmtId="0" fontId="19" fillId="0" borderId="0" xfId="0" applyFont="1" applyBorder="1" applyAlignment="1" applyProtection="1">
      <alignment horizontal="right"/>
      <protection hidden="1"/>
    </xf>
    <xf numFmtId="0" fontId="21" fillId="0" borderId="0" xfId="0" applyFont="1" applyBorder="1" applyProtection="1">
      <protection hidden="1"/>
    </xf>
    <xf numFmtId="0" fontId="22" fillId="0" borderId="0" xfId="0" applyFont="1" applyBorder="1" applyProtection="1">
      <protection hidden="1"/>
    </xf>
    <xf numFmtId="0" fontId="19" fillId="0" borderId="11" xfId="0" applyFont="1" applyBorder="1" applyProtection="1">
      <protection hidden="1"/>
    </xf>
    <xf numFmtId="0" fontId="17" fillId="0" borderId="11" xfId="0" applyFont="1" applyBorder="1" applyProtection="1">
      <protection hidden="1"/>
    </xf>
    <xf numFmtId="2" fontId="19" fillId="0" borderId="11" xfId="0" applyNumberFormat="1" applyFont="1" applyBorder="1" applyProtection="1">
      <protection hidden="1"/>
    </xf>
    <xf numFmtId="0" fontId="17" fillId="0" borderId="0" xfId="0" applyFont="1" applyBorder="1" applyAlignment="1" applyProtection="1">
      <alignment horizontal="right"/>
      <protection hidden="1"/>
    </xf>
    <xf numFmtId="2" fontId="23" fillId="0" borderId="0" xfId="0" applyNumberFormat="1" applyFont="1" applyFill="1" applyBorder="1" applyProtection="1">
      <protection hidden="1"/>
    </xf>
    <xf numFmtId="2" fontId="21" fillId="0" borderId="0" xfId="0" applyNumberFormat="1" applyFont="1" applyBorder="1" applyProtection="1">
      <protection hidden="1"/>
    </xf>
    <xf numFmtId="0" fontId="24" fillId="0" borderId="0" xfId="0" applyFont="1" applyBorder="1" applyProtection="1">
      <protection hidden="1"/>
    </xf>
    <xf numFmtId="2" fontId="20" fillId="0" borderId="0" xfId="0" applyNumberFormat="1" applyFont="1" applyProtection="1">
      <protection hidden="1"/>
    </xf>
    <xf numFmtId="0" fontId="22" fillId="0" borderId="12" xfId="0" applyFont="1" applyBorder="1" applyAlignment="1" applyProtection="1">
      <alignment horizontal="center" vertical="center" wrapText="1"/>
      <protection hidden="1"/>
    </xf>
    <xf numFmtId="0" fontId="19" fillId="0" borderId="0" xfId="0" applyFont="1" applyFill="1"/>
    <xf numFmtId="0" fontId="24" fillId="0" borderId="13" xfId="0" applyFont="1" applyFill="1" applyBorder="1" applyAlignment="1" applyProtection="1">
      <alignment horizontal="center" vertical="center" wrapText="1"/>
      <protection locked="0" hidden="1"/>
    </xf>
    <xf numFmtId="0" fontId="17" fillId="0" borderId="14" xfId="0" applyFont="1" applyFill="1" applyBorder="1" applyAlignment="1" applyProtection="1">
      <alignment horizontal="center" vertical="center" wrapText="1"/>
      <protection locked="0" hidden="1"/>
    </xf>
    <xf numFmtId="0" fontId="20" fillId="0" borderId="0" xfId="0" applyFont="1" applyProtection="1">
      <protection hidden="1"/>
    </xf>
    <xf numFmtId="0" fontId="19" fillId="0" borderId="0" xfId="0" applyFont="1" applyFill="1" applyProtection="1">
      <protection locked="0"/>
    </xf>
    <xf numFmtId="0" fontId="19" fillId="0" borderId="0" xfId="0" applyFont="1" applyProtection="1">
      <protection locked="0"/>
    </xf>
    <xf numFmtId="0" fontId="24" fillId="0" borderId="0" xfId="0" applyFont="1" applyBorder="1" applyAlignment="1" applyProtection="1">
      <alignment horizontal="center" vertical="center" wrapText="1"/>
      <protection locked="0"/>
    </xf>
    <xf numFmtId="0" fontId="17" fillId="0" borderId="15" xfId="0" applyFont="1" applyBorder="1" applyAlignment="1" applyProtection="1">
      <alignment horizontal="center" vertical="center" wrapText="1"/>
      <protection locked="0"/>
    </xf>
    <xf numFmtId="0" fontId="24" fillId="0" borderId="10" xfId="0" applyFont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0" fontId="24" fillId="0" borderId="17" xfId="0" applyFont="1" applyFill="1" applyBorder="1" applyAlignment="1" applyProtection="1">
      <alignment horizontal="center" vertical="center" wrapText="1"/>
      <protection locked="0" hidden="1"/>
    </xf>
    <xf numFmtId="0" fontId="17" fillId="0" borderId="18" xfId="0" applyFont="1" applyFill="1" applyBorder="1" applyAlignment="1" applyProtection="1">
      <alignment horizontal="center" vertical="center" wrapText="1"/>
      <protection locked="0" hidden="1"/>
    </xf>
    <xf numFmtId="0" fontId="24" fillId="0" borderId="1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24" fillId="0" borderId="21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12" xfId="0" applyFont="1" applyFill="1" applyBorder="1" applyAlignment="1" applyProtection="1">
      <alignment horizontal="center" vertical="center" wrapText="1"/>
      <protection locked="0" hidden="1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0" xfId="0" applyFont="1" applyFill="1" applyBorder="1" applyAlignment="1" applyProtection="1">
      <alignment horizontal="center" vertical="center" wrapText="1"/>
      <protection locked="0" hidden="1"/>
    </xf>
    <xf numFmtId="2" fontId="19" fillId="0" borderId="0" xfId="0" applyNumberFormat="1" applyFont="1"/>
    <xf numFmtId="0" fontId="19" fillId="0" borderId="11" xfId="0" applyFont="1" applyBorder="1"/>
    <xf numFmtId="0" fontId="27" fillId="0" borderId="0" xfId="0" applyFont="1" applyAlignment="1">
      <alignment vertical="top"/>
    </xf>
    <xf numFmtId="0" fontId="20" fillId="0" borderId="0" xfId="0" applyFont="1" applyAlignment="1" applyProtection="1">
      <protection hidden="1"/>
    </xf>
    <xf numFmtId="0" fontId="19" fillId="0" borderId="0" xfId="0" applyFont="1" applyAlignment="1" applyProtection="1">
      <protection locked="0"/>
    </xf>
    <xf numFmtId="0" fontId="19" fillId="0" borderId="0" xfId="0" applyFont="1" applyAlignment="1"/>
    <xf numFmtId="0" fontId="0" fillId="0" borderId="0" xfId="0" applyAlignment="1"/>
    <xf numFmtId="0" fontId="17" fillId="0" borderId="22" xfId="0" applyFont="1" applyFill="1" applyBorder="1" applyAlignment="1" applyProtection="1">
      <alignment horizontal="center" vertical="center" wrapText="1"/>
      <protection locked="0" hidden="1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hidden="1"/>
    </xf>
    <xf numFmtId="0" fontId="17" fillId="0" borderId="0" xfId="0" applyFont="1" applyProtection="1">
      <protection locked="0"/>
    </xf>
    <xf numFmtId="2" fontId="19" fillId="0" borderId="0" xfId="0" applyNumberFormat="1" applyFont="1" applyProtection="1">
      <protection locked="0"/>
    </xf>
    <xf numFmtId="0" fontId="20" fillId="0" borderId="0" xfId="0" applyFont="1" applyProtection="1"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0" fontId="0" fillId="0" borderId="0" xfId="0" applyBorder="1" applyAlignment="1" applyProtection="1">
      <alignment vertical="top" wrapText="1"/>
      <protection locked="0"/>
    </xf>
    <xf numFmtId="49" fontId="0" fillId="0" borderId="0" xfId="0" applyNumberFormat="1" applyBorder="1" applyAlignment="1" applyProtection="1">
      <alignment vertical="top" wrapText="1"/>
      <protection locked="0"/>
    </xf>
    <xf numFmtId="0" fontId="19" fillId="0" borderId="0" xfId="0" applyFont="1" applyFill="1" applyAlignment="1" applyProtection="1">
      <alignment wrapText="1"/>
      <protection locked="0"/>
    </xf>
    <xf numFmtId="0" fontId="19" fillId="0" borderId="0" xfId="0" applyFont="1" applyAlignment="1" applyProtection="1">
      <alignment wrapText="1"/>
      <protection locked="0"/>
    </xf>
    <xf numFmtId="0" fontId="19" fillId="0" borderId="0" xfId="0" applyFont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64" fontId="25" fillId="0" borderId="0" xfId="0" applyNumberFormat="1" applyFont="1" applyFill="1" applyBorder="1" applyProtection="1">
      <protection hidden="1"/>
    </xf>
    <xf numFmtId="164" fontId="19" fillId="0" borderId="0" xfId="0" applyNumberFormat="1" applyFont="1" applyBorder="1" applyAlignment="1" applyProtection="1">
      <alignment horizontal="right"/>
      <protection hidden="1"/>
    </xf>
    <xf numFmtId="0" fontId="19" fillId="0" borderId="0" xfId="0" quotePrefix="1" applyFont="1" applyBorder="1" applyProtection="1">
      <protection hidden="1"/>
    </xf>
    <xf numFmtId="165" fontId="30" fillId="0" borderId="0" xfId="0" applyNumberFormat="1" applyFont="1" applyFill="1" applyBorder="1" applyProtection="1">
      <protection hidden="1"/>
    </xf>
    <xf numFmtId="2" fontId="23" fillId="0" borderId="0" xfId="0" applyNumberFormat="1" applyFont="1" applyFill="1" applyBorder="1" applyProtection="1">
      <protection locked="0" hidden="1"/>
    </xf>
    <xf numFmtId="0" fontId="19" fillId="0" borderId="0" xfId="0" applyFont="1" applyAlignment="1" applyProtection="1">
      <alignment horizontal="left" vertical="top"/>
      <protection hidden="1"/>
    </xf>
    <xf numFmtId="0" fontId="3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Border="1" applyAlignment="1" applyProtection="1">
      <alignment wrapText="1"/>
      <protection locked="0"/>
    </xf>
    <xf numFmtId="0" fontId="24" fillId="0" borderId="24" xfId="0" applyFont="1" applyFill="1" applyBorder="1" applyAlignment="1" applyProtection="1">
      <alignment horizontal="center" vertical="center" wrapText="1"/>
      <protection locked="0" hidden="1"/>
    </xf>
    <xf numFmtId="0" fontId="24" fillId="0" borderId="25" xfId="0" applyFont="1" applyFill="1" applyBorder="1" applyAlignment="1" applyProtection="1">
      <alignment horizontal="center" vertical="center" wrapText="1"/>
      <protection locked="0" hidden="1"/>
    </xf>
    <xf numFmtId="2" fontId="19" fillId="0" borderId="0" xfId="0" applyNumberFormat="1" applyFont="1" applyFill="1" applyAlignment="1" applyProtection="1">
      <alignment wrapText="1"/>
      <protection locked="0"/>
    </xf>
    <xf numFmtId="2" fontId="19" fillId="0" borderId="0" xfId="0" applyNumberFormat="1" applyFont="1" applyAlignment="1" applyProtection="1">
      <alignment wrapText="1"/>
      <protection locked="0"/>
    </xf>
    <xf numFmtId="0" fontId="22" fillId="0" borderId="28" xfId="0" applyFont="1" applyBorder="1" applyAlignment="1" applyProtection="1">
      <alignment horizontal="center" vertical="top" wrapText="1"/>
      <protection hidden="1"/>
    </xf>
    <xf numFmtId="0" fontId="24" fillId="0" borderId="32" xfId="0" applyFont="1" applyFill="1" applyBorder="1" applyAlignment="1" applyProtection="1">
      <alignment horizontal="center" vertical="center" wrapText="1"/>
      <protection locked="0"/>
    </xf>
    <xf numFmtId="0" fontId="0" fillId="0" borderId="33" xfId="0" applyBorder="1" applyAlignment="1" applyProtection="1">
      <alignment horizontal="center" vertical="center" wrapText="1"/>
      <protection locked="0"/>
    </xf>
    <xf numFmtId="2" fontId="24" fillId="0" borderId="33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52" xfId="0" applyFont="1" applyFill="1" applyBorder="1" applyAlignment="1" applyProtection="1">
      <alignment vertical="top" wrapText="1"/>
      <protection hidden="1"/>
    </xf>
    <xf numFmtId="0" fontId="26" fillId="0" borderId="26" xfId="0" applyFont="1" applyFill="1" applyBorder="1" applyAlignment="1" applyProtection="1">
      <alignment vertical="top" wrapText="1"/>
      <protection hidden="1"/>
    </xf>
    <xf numFmtId="0" fontId="26" fillId="0" borderId="25" xfId="0" applyFont="1" applyFill="1" applyBorder="1" applyAlignment="1" applyProtection="1">
      <alignment vertical="top" wrapText="1"/>
      <protection hidden="1"/>
    </xf>
    <xf numFmtId="0" fontId="26" fillId="0" borderId="27" xfId="0" applyFont="1" applyFill="1" applyBorder="1" applyAlignment="1" applyProtection="1">
      <alignment vertical="top" wrapText="1"/>
      <protection hidden="1"/>
    </xf>
    <xf numFmtId="2" fontId="24" fillId="0" borderId="21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55" xfId="0" applyFont="1" applyFill="1" applyBorder="1" applyAlignment="1" applyProtection="1">
      <alignment vertical="top" wrapText="1"/>
      <protection hidden="1"/>
    </xf>
    <xf numFmtId="0" fontId="26" fillId="0" borderId="41" xfId="0" applyFont="1" applyFill="1" applyBorder="1" applyAlignment="1" applyProtection="1">
      <alignment vertical="top" wrapText="1"/>
      <protection hidden="1"/>
    </xf>
    <xf numFmtId="0" fontId="26" fillId="0" borderId="44" xfId="0" applyFont="1" applyFill="1" applyBorder="1" applyAlignment="1" applyProtection="1">
      <alignment vertical="top" wrapText="1"/>
      <protection hidden="1"/>
    </xf>
    <xf numFmtId="0" fontId="26" fillId="0" borderId="48" xfId="0" applyFont="1" applyFill="1" applyBorder="1" applyAlignment="1" applyProtection="1">
      <alignment vertical="top" wrapText="1"/>
      <protection hidden="1"/>
    </xf>
    <xf numFmtId="0" fontId="26" fillId="0" borderId="49" xfId="0" applyFont="1" applyFill="1" applyBorder="1" applyAlignment="1" applyProtection="1">
      <alignment vertical="top" wrapText="1"/>
      <protection hidden="1"/>
    </xf>
    <xf numFmtId="0" fontId="26" fillId="0" borderId="50" xfId="0" applyFont="1" applyFill="1" applyBorder="1" applyAlignment="1" applyProtection="1">
      <alignment vertical="top" wrapText="1"/>
      <protection hidden="1"/>
    </xf>
    <xf numFmtId="0" fontId="26" fillId="0" borderId="29" xfId="0" applyFont="1" applyFill="1" applyBorder="1" applyAlignment="1" applyProtection="1">
      <alignment vertical="top" wrapText="1"/>
      <protection hidden="1"/>
    </xf>
    <xf numFmtId="2" fontId="24" fillId="0" borderId="30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6" fillId="0" borderId="35" xfId="0" applyFont="1" applyFill="1" applyBorder="1" applyAlignment="1" applyProtection="1">
      <alignment vertical="top" wrapText="1"/>
      <protection hidden="1"/>
    </xf>
    <xf numFmtId="0" fontId="26" fillId="0" borderId="43" xfId="0" applyFont="1" applyFill="1" applyBorder="1" applyAlignment="1" applyProtection="1">
      <alignment vertical="top" wrapText="1"/>
      <protection hidden="1"/>
    </xf>
    <xf numFmtId="0" fontId="22" fillId="0" borderId="28" xfId="0" applyFont="1" applyBorder="1" applyAlignment="1" applyProtection="1">
      <alignment vertical="top" wrapText="1"/>
      <protection hidden="1"/>
    </xf>
    <xf numFmtId="0" fontId="26" fillId="0" borderId="46" xfId="0" applyFont="1" applyFill="1" applyBorder="1" applyAlignment="1" applyProtection="1">
      <alignment vertical="top" wrapText="1"/>
      <protection hidden="1"/>
    </xf>
    <xf numFmtId="0" fontId="22" fillId="0" borderId="17" xfId="0" applyFont="1" applyFill="1" applyBorder="1" applyAlignment="1" applyProtection="1">
      <alignment horizontal="left" vertical="center" textRotation="90" wrapText="1"/>
      <protection hidden="1"/>
    </xf>
    <xf numFmtId="0" fontId="22" fillId="0" borderId="19" xfId="0" applyFont="1" applyFill="1" applyBorder="1" applyAlignment="1" applyProtection="1">
      <alignment horizontal="left" vertical="center" textRotation="90" wrapText="1"/>
      <protection hidden="1"/>
    </xf>
    <xf numFmtId="0" fontId="0" fillId="0" borderId="19" xfId="0" applyBorder="1" applyAlignment="1">
      <alignment horizontal="left" vertical="center" textRotation="90" wrapText="1"/>
    </xf>
    <xf numFmtId="0" fontId="0" fillId="0" borderId="21" xfId="0" applyBorder="1" applyAlignment="1">
      <alignment horizontal="left" vertical="center" textRotation="90" wrapText="1"/>
    </xf>
    <xf numFmtId="0" fontId="22" fillId="0" borderId="32" xfId="0" applyFont="1" applyFill="1" applyBorder="1" applyAlignment="1" applyProtection="1">
      <alignment vertical="top" wrapText="1"/>
      <protection hidden="1"/>
    </xf>
    <xf numFmtId="0" fontId="0" fillId="0" borderId="33" xfId="0" applyBorder="1" applyAlignment="1">
      <alignment vertical="top" wrapText="1"/>
    </xf>
    <xf numFmtId="0" fontId="22" fillId="0" borderId="24" xfId="0" applyFont="1" applyFill="1" applyBorder="1" applyAlignment="1" applyProtection="1">
      <alignment vertical="top" wrapText="1"/>
      <protection hidden="1"/>
    </xf>
    <xf numFmtId="0" fontId="0" fillId="0" borderId="17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17" fillId="0" borderId="24" xfId="0" applyFont="1" applyBorder="1" applyAlignment="1" applyProtection="1">
      <alignment vertical="top" wrapText="1"/>
      <protection hidden="1"/>
    </xf>
    <xf numFmtId="0" fontId="22" fillId="0" borderId="37" xfId="0" applyFont="1" applyFill="1" applyBorder="1" applyAlignment="1" applyProtection="1">
      <alignment horizontal="left" vertical="center" textRotation="90" wrapText="1"/>
      <protection hidden="1"/>
    </xf>
    <xf numFmtId="0" fontId="0" fillId="0" borderId="38" xfId="0" applyBorder="1" applyAlignment="1"/>
    <xf numFmtId="0" fontId="0" fillId="0" borderId="39" xfId="0" applyBorder="1" applyAlignment="1"/>
    <xf numFmtId="0" fontId="22" fillId="0" borderId="13" xfId="0" applyFont="1" applyFill="1" applyBorder="1" applyAlignment="1" applyProtection="1">
      <alignment horizontal="left" vertical="center" textRotation="90" wrapText="1"/>
      <protection hidden="1"/>
    </xf>
    <xf numFmtId="0" fontId="0" fillId="0" borderId="0" xfId="0" applyAlignment="1"/>
    <xf numFmtId="0" fontId="0" fillId="0" borderId="10" xfId="0" applyBorder="1" applyAlignment="1"/>
    <xf numFmtId="0" fontId="26" fillId="0" borderId="40" xfId="0" applyFont="1" applyFill="1" applyBorder="1" applyAlignment="1" applyProtection="1">
      <alignment vertical="top" wrapText="1"/>
      <protection hidden="1"/>
    </xf>
    <xf numFmtId="0" fontId="26" fillId="0" borderId="42" xfId="0" applyFont="1" applyFill="1" applyBorder="1" applyAlignment="1" applyProtection="1">
      <alignment vertical="top" wrapText="1"/>
      <protection hidden="1"/>
    </xf>
    <xf numFmtId="0" fontId="26" fillId="0" borderId="47" xfId="0" applyFont="1" applyFill="1" applyBorder="1" applyAlignment="1" applyProtection="1">
      <alignment vertical="top" wrapText="1"/>
      <protection hidden="1"/>
    </xf>
    <xf numFmtId="0" fontId="26" fillId="0" borderId="51" xfId="0" applyFont="1" applyFill="1" applyBorder="1" applyAlignment="1" applyProtection="1">
      <alignment vertical="top" wrapText="1"/>
      <protection hidden="1"/>
    </xf>
    <xf numFmtId="0" fontId="26" fillId="0" borderId="45" xfId="0" applyFont="1" applyFill="1" applyBorder="1" applyAlignment="1" applyProtection="1">
      <alignment vertical="top" wrapText="1"/>
      <protection hidden="1"/>
    </xf>
    <xf numFmtId="0" fontId="26" fillId="0" borderId="58" xfId="0" applyFont="1" applyBorder="1" applyAlignment="1" applyProtection="1">
      <alignment horizontal="left" vertical="top" wrapText="1"/>
      <protection hidden="1"/>
    </xf>
    <xf numFmtId="0" fontId="26" fillId="0" borderId="49" xfId="0" applyFont="1" applyBorder="1" applyAlignment="1" applyProtection="1">
      <alignment horizontal="left" vertical="top" wrapText="1"/>
      <protection hidden="1"/>
    </xf>
    <xf numFmtId="0" fontId="26" fillId="0" borderId="21" xfId="0" applyFont="1" applyFill="1" applyBorder="1" applyAlignment="1" applyProtection="1">
      <alignment vertical="top" wrapText="1"/>
      <protection hidden="1"/>
    </xf>
    <xf numFmtId="0" fontId="26" fillId="0" borderId="53" xfId="0" applyFont="1" applyFill="1" applyBorder="1" applyAlignment="1" applyProtection="1">
      <alignment vertical="top" wrapText="1"/>
      <protection hidden="1"/>
    </xf>
    <xf numFmtId="0" fontId="22" fillId="0" borderId="32" xfId="0" applyFont="1" applyBorder="1" applyAlignment="1" applyProtection="1">
      <alignment horizontal="center" vertical="top" wrapText="1"/>
      <protection hidden="1"/>
    </xf>
    <xf numFmtId="0" fontId="22" fillId="0" borderId="33" xfId="0" applyFont="1" applyBorder="1" applyAlignment="1" applyProtection="1">
      <alignment horizontal="center" vertical="top" wrapText="1"/>
      <protection hidden="1"/>
    </xf>
    <xf numFmtId="0" fontId="17" fillId="0" borderId="28" xfId="0" applyFont="1" applyBorder="1" applyAlignment="1" applyProtection="1">
      <alignment vertical="top" wrapText="1"/>
      <protection hidden="1"/>
    </xf>
    <xf numFmtId="9" fontId="23" fillId="4" borderId="0" xfId="0" applyNumberFormat="1" applyFont="1" applyFill="1" applyBorder="1" applyAlignment="1" applyProtection="1">
      <alignment horizontal="center"/>
      <protection locked="0" hidden="1"/>
    </xf>
    <xf numFmtId="9" fontId="23" fillId="0" borderId="0" xfId="0" applyNumberFormat="1" applyFont="1" applyFill="1" applyBorder="1" applyAlignment="1" applyProtection="1">
      <alignment horizontal="center"/>
      <protection hidden="1"/>
    </xf>
    <xf numFmtId="0" fontId="21" fillId="4" borderId="0" xfId="0" applyFont="1" applyFill="1" applyBorder="1" applyAlignment="1" applyProtection="1">
      <protection locked="0" hidden="1"/>
    </xf>
    <xf numFmtId="0" fontId="22" fillId="0" borderId="28" xfId="0" applyFont="1" applyFill="1" applyBorder="1" applyAlignment="1" applyProtection="1">
      <alignment horizontal="left" vertical="center" textRotation="90" wrapText="1"/>
      <protection hidden="1"/>
    </xf>
    <xf numFmtId="0" fontId="22" fillId="0" borderId="28" xfId="0" applyFont="1" applyFill="1" applyBorder="1" applyAlignment="1" applyProtection="1">
      <alignment vertical="top" wrapText="1"/>
      <protection hidden="1"/>
    </xf>
    <xf numFmtId="14" fontId="21" fillId="4" borderId="0" xfId="0" applyNumberFormat="1" applyFont="1" applyFill="1" applyBorder="1" applyAlignment="1" applyProtection="1">
      <alignment horizontal="right"/>
      <protection locked="0" hidden="1"/>
    </xf>
    <xf numFmtId="0" fontId="26" fillId="0" borderId="54" xfId="0" applyFont="1" applyFill="1" applyBorder="1" applyAlignment="1" applyProtection="1">
      <alignment vertical="top" wrapText="1"/>
      <protection hidden="1"/>
    </xf>
    <xf numFmtId="0" fontId="26" fillId="0" borderId="56" xfId="0" applyFont="1" applyFill="1" applyBorder="1" applyAlignment="1" applyProtection="1">
      <alignment vertical="top" wrapText="1"/>
      <protection hidden="1"/>
    </xf>
    <xf numFmtId="0" fontId="26" fillId="0" borderId="57" xfId="0" applyFont="1" applyFill="1" applyBorder="1" applyAlignment="1" applyProtection="1">
      <alignment vertical="top" wrapText="1"/>
      <protection hidden="1"/>
    </xf>
    <xf numFmtId="0" fontId="21" fillId="0" borderId="0" xfId="0" applyFont="1" applyBorder="1" applyAlignment="1" applyProtection="1">
      <alignment horizontal="right"/>
      <protection hidden="1"/>
    </xf>
    <xf numFmtId="0" fontId="22" fillId="0" borderId="24" xfId="0" applyFont="1" applyFill="1" applyBorder="1" applyAlignment="1" applyProtection="1">
      <alignment horizontal="left" vertical="top" wrapText="1"/>
      <protection hidden="1"/>
    </xf>
    <xf numFmtId="0" fontId="22" fillId="0" borderId="17" xfId="0" applyFont="1" applyFill="1" applyBorder="1" applyAlignment="1" applyProtection="1">
      <alignment horizontal="left" vertical="top" wrapText="1"/>
      <protection hidden="1"/>
    </xf>
    <xf numFmtId="0" fontId="22" fillId="0" borderId="25" xfId="0" applyFont="1" applyFill="1" applyBorder="1" applyAlignment="1" applyProtection="1">
      <alignment horizontal="left" vertical="top" wrapText="1"/>
      <protection hidden="1"/>
    </xf>
    <xf numFmtId="0" fontId="22" fillId="0" borderId="21" xfId="0" applyFont="1" applyFill="1" applyBorder="1" applyAlignment="1" applyProtection="1">
      <alignment horizontal="left" vertical="top" wrapText="1"/>
      <protection hidden="1"/>
    </xf>
    <xf numFmtId="0" fontId="26" fillId="0" borderId="59" xfId="0" applyFont="1" applyBorder="1" applyAlignment="1" applyProtection="1">
      <alignment horizontal="left" vertical="top" wrapText="1"/>
      <protection hidden="1"/>
    </xf>
    <xf numFmtId="2" fontId="24" fillId="0" borderId="1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60" xfId="0" applyFont="1" applyFill="1" applyBorder="1" applyAlignment="1" applyProtection="1">
      <alignment vertical="top" wrapText="1"/>
      <protection hidden="1"/>
    </xf>
    <xf numFmtId="0" fontId="26" fillId="0" borderId="61" xfId="0" applyFont="1" applyFill="1" applyBorder="1" applyAlignment="1" applyProtection="1">
      <alignment vertical="top" wrapText="1"/>
      <protection hidden="1"/>
    </xf>
    <xf numFmtId="0" fontId="26" fillId="0" borderId="32" xfId="0" applyFont="1" applyFill="1" applyBorder="1" applyAlignment="1" applyProtection="1">
      <alignment vertical="top" wrapText="1"/>
      <protection hidden="1"/>
    </xf>
    <xf numFmtId="0" fontId="26" fillId="0" borderId="33" xfId="0" applyFont="1" applyFill="1" applyBorder="1" applyAlignment="1" applyProtection="1">
      <alignment vertical="top" wrapText="1"/>
      <protection hidden="1"/>
    </xf>
  </cellXfs>
  <cellStyles count="24">
    <cellStyle name="Akzent1" xfId="1" builtinId="29" customBuiltin="1"/>
    <cellStyle name="Akzent2" xfId="2" builtinId="33" customBuiltin="1"/>
    <cellStyle name="Akzent3" xfId="3" builtinId="37" customBuiltin="1"/>
    <cellStyle name="Akzent4" xfId="4" builtinId="41" customBuiltin="1"/>
    <cellStyle name="Akzent5" xfId="5" builtinId="45" customBuiltin="1"/>
    <cellStyle name="Akzent6" xfId="6" builtinId="49" customBuiltin="1"/>
    <cellStyle name="Ausgabe" xfId="7" builtinId="21" customBuiltin="1"/>
    <cellStyle name="Berechnung" xfId="8" builtinId="22" customBuiltin="1"/>
    <cellStyle name="Eingabe" xfId="9" builtinId="20" customBuiltin="1"/>
    <cellStyle name="Ergebnis 1" xfId="10" xr:uid="{00000000-0005-0000-0000-000009000000}"/>
    <cellStyle name="Erklärender Text" xfId="11" builtinId="53" customBuiltin="1"/>
    <cellStyle name="Gut" xfId="12" builtinId="26" customBuiltin="1"/>
    <cellStyle name="Neutral" xfId="13" builtinId="28" customBuiltin="1"/>
    <cellStyle name="Notiz" xfId="14" builtinId="10" customBuiltin="1"/>
    <cellStyle name="Schlecht" xfId="15" builtinId="27" customBuiltin="1"/>
    <cellStyle name="Standard" xfId="0" builtinId="0"/>
    <cellStyle name="Überschrift 1" xfId="16" builtinId="16" customBuiltin="1"/>
    <cellStyle name="Überschrift 1 1" xfId="17" xr:uid="{00000000-0005-0000-0000-000011000000}"/>
    <cellStyle name="Überschrift 2" xfId="18" builtinId="17" customBuiltin="1"/>
    <cellStyle name="Überschrift 3" xfId="19" builtinId="18" customBuiltin="1"/>
    <cellStyle name="Überschrift 4" xfId="20" builtinId="19" customBuiltin="1"/>
    <cellStyle name="Verknüpfte Zelle" xfId="21" builtinId="24" customBuiltin="1"/>
    <cellStyle name="Warnender Text" xfId="22" builtinId="11" customBuiltin="1"/>
    <cellStyle name="Zelle überprüfen" xfId="23" builtinId="23" customBuiltin="1"/>
  </cellStyles>
  <dxfs count="5">
    <dxf>
      <fill>
        <patternFill>
          <bgColor rgb="FFCCFFFF"/>
        </patternFill>
      </fill>
    </dxf>
    <dxf>
      <fill>
        <patternFill>
          <bgColor rgb="FF80808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5"/>
          <bgColor indexed="23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41"/>
          <bgColor indexed="2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811205846528627E-2"/>
          <c:y val="4.0498503970903869E-2"/>
          <c:w val="0.92813641900121802"/>
          <c:h val="0.88940945259177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Tabelle1!$A$32:$B$32</c:f>
              <c:strCache>
                <c:ptCount val="2"/>
                <c:pt idx="0">
                  <c:v>Produkt</c:v>
                </c:pt>
                <c:pt idx="1">
                  <c:v>Phys. Produkt (Modell / Kreation)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Tabelle1!$C$31:$S$31</c:f>
              <c:strCache>
                <c:ptCount val="16"/>
                <c:pt idx="0">
                  <c:v>Bewertung:</c:v>
                </c:pt>
                <c:pt idx="3">
                  <c:v>6</c:v>
                </c:pt>
                <c:pt idx="5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Punkte</c:v>
                </c:pt>
              </c:strCache>
            </c:strRef>
          </c:cat>
          <c:val>
            <c:numRef>
              <c:f>Tabelle1!$C$32:$S$32</c:f>
              <c:numCache>
                <c:formatCode>General</c:formatCode>
                <c:ptCount val="1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3-4DB8-A112-6F804F3FE96C}"/>
            </c:ext>
          </c:extLst>
        </c:ser>
        <c:ser>
          <c:idx val="1"/>
          <c:order val="1"/>
          <c:tx>
            <c:strRef>
              <c:f>Tabelle1!$A$38:$B$38</c:f>
              <c:strCache>
                <c:ptCount val="2"/>
                <c:pt idx="0">
                  <c:v>Produkt</c:v>
                </c:pt>
                <c:pt idx="1">
                  <c:v>Begleittext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Tabelle1!$C$31:$S$31</c:f>
              <c:strCache>
                <c:ptCount val="16"/>
                <c:pt idx="0">
                  <c:v>Bewertung:</c:v>
                </c:pt>
                <c:pt idx="3">
                  <c:v>6</c:v>
                </c:pt>
                <c:pt idx="5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Punkte</c:v>
                </c:pt>
              </c:strCache>
            </c:strRef>
          </c:cat>
          <c:val>
            <c:numRef>
              <c:f>Tabelle1!$C$38:$S$38</c:f>
              <c:numCache>
                <c:formatCode>General</c:formatCode>
                <c:ptCount val="1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3-4DB8-A112-6F804F3FE96C}"/>
            </c:ext>
          </c:extLst>
        </c:ser>
        <c:ser>
          <c:idx val="2"/>
          <c:order val="2"/>
          <c:tx>
            <c:strRef>
              <c:f>Tabelle1!$A$34:$B$34</c:f>
              <c:strCache>
                <c:ptCount val="2"/>
                <c:pt idx="0">
                  <c:v>Produkt</c:v>
                </c:pt>
                <c:pt idx="1">
                  <c:v>Phys. Produkt (Modell / Kreation)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Tabelle1!$C$31:$S$31</c:f>
              <c:strCache>
                <c:ptCount val="16"/>
                <c:pt idx="0">
                  <c:v>Bewertung:</c:v>
                </c:pt>
                <c:pt idx="3">
                  <c:v>6</c:v>
                </c:pt>
                <c:pt idx="5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Punkte</c:v>
                </c:pt>
              </c:strCache>
            </c:strRef>
          </c:cat>
          <c:val>
            <c:numRef>
              <c:f>Tabelle1!$C$34:$S$34</c:f>
              <c:numCache>
                <c:formatCode>General</c:formatCode>
                <c:ptCount val="1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13-4DB8-A112-6F804F3FE96C}"/>
            </c:ext>
          </c:extLst>
        </c:ser>
        <c:ser>
          <c:idx val="3"/>
          <c:order val="3"/>
          <c:tx>
            <c:strRef>
              <c:f>Tabelle1!$A$37:$B$37</c:f>
              <c:strCache>
                <c:ptCount val="2"/>
                <c:pt idx="0">
                  <c:v>Produkt</c:v>
                </c:pt>
                <c:pt idx="1">
                  <c:v>Phys. Produkt (Modell / Kreation)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Tabelle1!$C$31:$S$31</c:f>
              <c:strCache>
                <c:ptCount val="16"/>
                <c:pt idx="0">
                  <c:v>Bewertung:</c:v>
                </c:pt>
                <c:pt idx="3">
                  <c:v>6</c:v>
                </c:pt>
                <c:pt idx="5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Punkte</c:v>
                </c:pt>
              </c:strCache>
            </c:strRef>
          </c:cat>
          <c:val>
            <c:numRef>
              <c:f>Tabelle1!$C$37:$S$37</c:f>
              <c:numCache>
                <c:formatCode>General</c:formatCode>
                <c:ptCount val="1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13-4DB8-A112-6F804F3FE96C}"/>
            </c:ext>
          </c:extLst>
        </c:ser>
        <c:ser>
          <c:idx val="4"/>
          <c:order val="4"/>
          <c:tx>
            <c:strRef>
              <c:f>Tabelle1!$A$40:$B$40</c:f>
              <c:strCache>
                <c:ptCount val="2"/>
                <c:pt idx="0">
                  <c:v>Produkt</c:v>
                </c:pt>
                <c:pt idx="1">
                  <c:v>Begleittext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Tabelle1!$C$31:$S$31</c:f>
              <c:strCache>
                <c:ptCount val="16"/>
                <c:pt idx="0">
                  <c:v>Bewertung:</c:v>
                </c:pt>
                <c:pt idx="3">
                  <c:v>6</c:v>
                </c:pt>
                <c:pt idx="5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Punkte</c:v>
                </c:pt>
              </c:strCache>
            </c:strRef>
          </c:cat>
          <c:val>
            <c:numRef>
              <c:f>Tabelle1!$C$40:$S$40</c:f>
              <c:numCache>
                <c:formatCode>General</c:formatCode>
                <c:ptCount val="1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13-4DB8-A112-6F804F3FE96C}"/>
            </c:ext>
          </c:extLst>
        </c:ser>
        <c:ser>
          <c:idx val="5"/>
          <c:order val="5"/>
          <c:tx>
            <c:strRef>
              <c:f>Tabelle1!$A$42:$B$42</c:f>
              <c:strCache>
                <c:ptCount val="2"/>
                <c:pt idx="0">
                  <c:v>Produkt</c:v>
                </c:pt>
                <c:pt idx="1">
                  <c:v>Begleittext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Tabelle1!$C$31:$S$31</c:f>
              <c:strCache>
                <c:ptCount val="16"/>
                <c:pt idx="0">
                  <c:v>Bewertung:</c:v>
                </c:pt>
                <c:pt idx="3">
                  <c:v>6</c:v>
                </c:pt>
                <c:pt idx="5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Punkte</c:v>
                </c:pt>
              </c:strCache>
            </c:strRef>
          </c:cat>
          <c:val>
            <c:numRef>
              <c:f>Tabelle1!$C$42:$S$42</c:f>
              <c:numCache>
                <c:formatCode>General</c:formatCode>
                <c:ptCount val="1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13-4DB8-A112-6F804F3FE96C}"/>
            </c:ext>
          </c:extLst>
        </c:ser>
        <c:ser>
          <c:idx val="6"/>
          <c:order val="6"/>
          <c:tx>
            <c:strRef>
              <c:f>Tabelle1!$A$46:$B$46</c:f>
              <c:strCache>
                <c:ptCount val="2"/>
                <c:pt idx="0">
                  <c:v>Produkt</c:v>
                </c:pt>
                <c:pt idx="1">
                  <c:v>Begleittext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Tabelle1!$C$31:$S$31</c:f>
              <c:strCache>
                <c:ptCount val="16"/>
                <c:pt idx="0">
                  <c:v>Bewertung:</c:v>
                </c:pt>
                <c:pt idx="3">
                  <c:v>6</c:v>
                </c:pt>
                <c:pt idx="5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Punkte</c:v>
                </c:pt>
              </c:strCache>
            </c:strRef>
          </c:cat>
          <c:val>
            <c:numRef>
              <c:f>Tabelle1!$C$46:$S$46</c:f>
              <c:numCache>
                <c:formatCode>General</c:formatCode>
                <c:ptCount val="17"/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13-4DB8-A112-6F804F3F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12800"/>
        <c:axId val="113226880"/>
      </c:barChart>
      <c:catAx>
        <c:axId val="11321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2268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13226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212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568822234628983"/>
          <c:y val="0.33800672112247648"/>
          <c:w val="0.25943977051768286"/>
          <c:h val="0.208723068494942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19050</xdr:rowOff>
    </xdr:from>
    <xdr:to>
      <xdr:col>10</xdr:col>
      <xdr:colOff>447675</xdr:colOff>
      <xdr:row>33</xdr:row>
      <xdr:rowOff>38100</xdr:rowOff>
    </xdr:to>
    <xdr:graphicFrame macro="">
      <xdr:nvGraphicFramePr>
        <xdr:cNvPr id="2144" name="Chart 1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Z117"/>
  <sheetViews>
    <sheetView showGridLines="0" showRowColHeaders="0" tabSelected="1" topLeftCell="B1" zoomScaleNormal="100" zoomScalePageLayoutView="93" workbookViewId="0">
      <selection activeCell="H9" sqref="H9:I9"/>
    </sheetView>
  </sheetViews>
  <sheetFormatPr defaultColWidth="11.42578125" defaultRowHeight="14.45"/>
  <cols>
    <col min="1" max="2" width="4.28515625" customWidth="1"/>
    <col min="3" max="3" width="8.7109375" customWidth="1"/>
    <col min="4" max="4" width="5.28515625" customWidth="1"/>
    <col min="5" max="5" width="0.7109375" customWidth="1"/>
    <col min="6" max="17" width="8.7109375" customWidth="1"/>
    <col min="18" max="18" width="4.28515625" style="1" customWidth="1"/>
    <col min="19" max="19" width="5.42578125" style="2" customWidth="1"/>
    <col min="20" max="20" width="2.7109375" style="57" customWidth="1"/>
    <col min="21" max="21" width="12.85546875" customWidth="1"/>
  </cols>
  <sheetData>
    <row r="1" spans="1:26" ht="20.10000000000000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4"/>
      <c r="Q1" s="4"/>
      <c r="R1" s="6"/>
      <c r="S1" s="7"/>
      <c r="T1" s="32"/>
      <c r="U1" s="8"/>
      <c r="V1" s="8"/>
      <c r="W1" s="8"/>
      <c r="X1" s="8"/>
      <c r="Y1" s="8"/>
      <c r="Z1" s="8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1"/>
      <c r="T2" s="32"/>
      <c r="U2" s="8"/>
      <c r="V2" s="8"/>
      <c r="W2" s="8"/>
      <c r="X2" s="8"/>
      <c r="Y2" s="8"/>
      <c r="Z2" s="8"/>
    </row>
    <row r="3" spans="1:26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  <c r="S3" s="14"/>
      <c r="T3" s="32"/>
      <c r="U3" s="8"/>
      <c r="V3" s="8"/>
      <c r="W3" s="8"/>
      <c r="X3" s="8"/>
      <c r="Y3" s="8"/>
      <c r="Z3" s="8"/>
    </row>
    <row r="4" spans="1:26">
      <c r="A4" s="12"/>
      <c r="B4" s="12"/>
      <c r="C4" s="12" t="s">
        <v>1</v>
      </c>
      <c r="D4" s="139"/>
      <c r="E4" s="139"/>
      <c r="F4" s="139"/>
      <c r="G4" s="139"/>
      <c r="H4" s="139"/>
      <c r="I4" s="15"/>
      <c r="J4" s="12" t="s">
        <v>2</v>
      </c>
      <c r="K4" s="16"/>
      <c r="L4" s="17" t="s">
        <v>3</v>
      </c>
      <c r="M4" s="142"/>
      <c r="N4" s="142"/>
      <c r="O4" s="142"/>
      <c r="P4" s="142"/>
      <c r="Q4" s="18"/>
      <c r="R4" s="19"/>
      <c r="S4" s="14"/>
      <c r="T4" s="32"/>
      <c r="U4" s="8"/>
      <c r="V4" s="8"/>
      <c r="W4" s="8"/>
      <c r="X4" s="8"/>
      <c r="Y4" s="8"/>
      <c r="Z4" s="8"/>
    </row>
    <row r="5" spans="1:26">
      <c r="A5" s="12"/>
      <c r="B5" s="1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  <c r="S5" s="14"/>
      <c r="T5" s="32"/>
      <c r="U5" s="8"/>
      <c r="V5" s="8"/>
      <c r="W5" s="8"/>
      <c r="X5" s="8"/>
      <c r="Y5" s="8"/>
      <c r="Z5" s="8"/>
    </row>
    <row r="6" spans="1:26">
      <c r="A6" s="12"/>
      <c r="B6" s="12"/>
      <c r="C6" s="12" t="s">
        <v>4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23"/>
      <c r="S6" s="123"/>
      <c r="T6" s="32"/>
      <c r="U6" s="8"/>
      <c r="V6" s="8"/>
      <c r="W6" s="8"/>
      <c r="X6" s="8"/>
      <c r="Y6" s="8"/>
      <c r="Z6" s="8"/>
    </row>
    <row r="7" spans="1:26" ht="1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  <c r="S7" s="22"/>
      <c r="T7" s="32"/>
      <c r="U7" s="8"/>
      <c r="V7" s="8"/>
      <c r="W7" s="8"/>
      <c r="X7" s="8"/>
      <c r="Y7" s="8"/>
      <c r="Z7" s="8"/>
    </row>
    <row r="8" spans="1:26" ht="15" customHeight="1">
      <c r="A8" s="12"/>
      <c r="B8" s="12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4"/>
      <c r="T8" s="32"/>
      <c r="U8" s="8"/>
      <c r="V8" s="8"/>
      <c r="W8" s="8"/>
      <c r="X8" s="8"/>
      <c r="Y8" s="8"/>
      <c r="Z8" s="8"/>
    </row>
    <row r="9" spans="1:26">
      <c r="A9" s="12"/>
      <c r="B9" s="12"/>
      <c r="C9" s="8"/>
      <c r="D9" s="18"/>
      <c r="E9" s="18"/>
      <c r="F9" s="18"/>
      <c r="G9" s="23" t="s">
        <v>5</v>
      </c>
      <c r="H9" s="137"/>
      <c r="I9" s="137"/>
      <c r="J9" s="18" t="str">
        <f>IF(OR(H9=0.2,H9=0.25,H9=0.3,H9=0.35,H9=0.4),"","Fehlende oder unerlaubte Gewichtung!")</f>
        <v>Fehlende oder unerlaubte Gewichtung!</v>
      </c>
      <c r="K9" s="18"/>
      <c r="L9" s="18"/>
      <c r="M9" s="18"/>
      <c r="N9" s="18"/>
      <c r="O9" s="18"/>
      <c r="P9" s="18"/>
      <c r="Q9" s="18"/>
      <c r="R9" s="19"/>
      <c r="S9" s="14"/>
      <c r="T9" s="32"/>
      <c r="U9" s="8"/>
      <c r="V9" s="8"/>
      <c r="W9" s="8"/>
      <c r="X9" s="8"/>
      <c r="Y9" s="8"/>
      <c r="Z9" s="8"/>
    </row>
    <row r="10" spans="1:26">
      <c r="A10" s="12"/>
      <c r="B10" s="12"/>
      <c r="C10" s="8"/>
      <c r="D10" s="18"/>
      <c r="E10" s="18"/>
      <c r="F10" s="18"/>
      <c r="G10" s="23" t="s">
        <v>6</v>
      </c>
      <c r="H10" s="138" t="str">
        <f>IF(OR(H9=0.2,H9=0.25,H9=0.3,H9=0.35,H9=0.4),1-H9,"")</f>
        <v/>
      </c>
      <c r="I10" s="138"/>
      <c r="J10" s="18"/>
      <c r="K10" s="18"/>
      <c r="L10" s="18"/>
      <c r="M10" s="18"/>
      <c r="N10" s="18"/>
      <c r="O10" s="18"/>
      <c r="P10" s="18"/>
      <c r="Q10" s="18"/>
      <c r="R10" s="19"/>
      <c r="S10" s="14"/>
      <c r="T10" s="32"/>
      <c r="U10" s="8"/>
      <c r="V10" s="8"/>
      <c r="W10" s="8"/>
      <c r="X10" s="8"/>
      <c r="Y10" s="8"/>
      <c r="Z10" s="8"/>
    </row>
    <row r="11" spans="1:26">
      <c r="A11" s="12"/>
      <c r="B11" s="12"/>
      <c r="C11" s="18"/>
      <c r="D11" s="12"/>
      <c r="E11" s="12"/>
      <c r="F11" s="12"/>
      <c r="G11" s="23" t="s">
        <v>7</v>
      </c>
      <c r="H11" s="137"/>
      <c r="I11" s="137"/>
      <c r="J11" s="18" t="str">
        <f>IF(OR(H11=0.2,H11=0.25,H11=0.3,H11=0.35,H11=0.4,H11=0.45,H11=0.5,H11=0.55,H11=0.6,H11=0.65,H11=0.7,H11=0.75,H11=0.8),"","Fehlende oder unerlaubte Gewichtung!")</f>
        <v>Fehlende oder unerlaubte Gewichtung!</v>
      </c>
      <c r="K11" s="18"/>
      <c r="L11" s="18"/>
      <c r="M11" s="18"/>
      <c r="N11" s="18"/>
      <c r="O11" s="18"/>
      <c r="P11" s="18"/>
      <c r="Q11" s="18"/>
      <c r="R11" s="19"/>
      <c r="S11" s="14"/>
      <c r="T11" s="32"/>
      <c r="U11" s="8"/>
      <c r="V11" s="8"/>
      <c r="W11" s="8"/>
      <c r="X11" s="8"/>
      <c r="Y11" s="8"/>
      <c r="Z11" s="8"/>
    </row>
    <row r="12" spans="1:26">
      <c r="A12" s="12"/>
      <c r="B12" s="12"/>
      <c r="C12" s="18"/>
      <c r="D12" s="12"/>
      <c r="E12" s="12"/>
      <c r="F12" s="12"/>
      <c r="G12" s="23" t="s">
        <v>8</v>
      </c>
      <c r="H12" s="138" t="str">
        <f>IF(OR(H11=0.2,H11=0.25,H11=0.3,H11=0.35,H11=0.4,H11=0.45,H11=0.5,H11=0.55,H11=0.6,H11=0.65,H11=0.7,H11=0.75,H11=0.8),1-H11,"")</f>
        <v/>
      </c>
      <c r="I12" s="138"/>
      <c r="J12" s="18"/>
      <c r="K12" s="18"/>
      <c r="L12" s="18"/>
      <c r="M12" s="18"/>
      <c r="N12" s="18"/>
      <c r="O12" s="18"/>
      <c r="P12" s="18"/>
      <c r="Q12" s="18"/>
      <c r="R12" s="19"/>
      <c r="S12" s="14"/>
      <c r="T12" s="32"/>
      <c r="U12" s="8"/>
      <c r="V12" s="8"/>
      <c r="W12" s="8"/>
      <c r="X12" s="8"/>
      <c r="Y12" s="8"/>
      <c r="Z12" s="8"/>
    </row>
    <row r="13" spans="1:26" ht="15" customHeight="1">
      <c r="A13" s="12"/>
      <c r="B13" s="12"/>
      <c r="C13" s="18"/>
      <c r="D13" s="18"/>
      <c r="E13" s="18"/>
      <c r="F13" s="18"/>
      <c r="G13" s="18"/>
      <c r="H13" s="24"/>
      <c r="I13" s="24"/>
      <c r="J13" s="18"/>
      <c r="K13" s="18"/>
      <c r="L13" s="18"/>
      <c r="M13" s="18"/>
      <c r="N13" s="18"/>
      <c r="O13" s="18"/>
      <c r="P13" s="18"/>
      <c r="Q13" s="18"/>
      <c r="R13" s="19"/>
      <c r="S13" s="14"/>
      <c r="T13" s="32"/>
      <c r="U13" s="8"/>
      <c r="V13" s="8"/>
      <c r="W13" s="8"/>
      <c r="X13" s="8"/>
      <c r="Y13" s="8"/>
      <c r="Z13" s="8"/>
    </row>
    <row r="14" spans="1:26" ht="15" customHeight="1">
      <c r="A14" s="12"/>
      <c r="B14" s="12"/>
      <c r="C14" s="18"/>
      <c r="D14" s="18"/>
      <c r="E14" s="18"/>
      <c r="F14" s="18"/>
      <c r="G14" s="18"/>
      <c r="H14" s="25"/>
      <c r="I14" s="25"/>
      <c r="J14" s="18"/>
      <c r="K14" s="18"/>
      <c r="L14" s="18"/>
      <c r="M14" s="18"/>
      <c r="N14" s="18"/>
      <c r="O14" s="18"/>
      <c r="P14" s="18"/>
      <c r="Q14" s="18"/>
      <c r="R14" s="19"/>
      <c r="S14" s="14"/>
      <c r="T14" s="32"/>
      <c r="U14" s="8"/>
      <c r="V14" s="8"/>
      <c r="W14" s="8"/>
      <c r="X14" s="8"/>
      <c r="Y14" s="8"/>
      <c r="Z14" s="8"/>
    </row>
    <row r="15" spans="1:26">
      <c r="A15" s="12"/>
      <c r="B15" s="12"/>
      <c r="C15" s="8"/>
      <c r="D15" s="18"/>
      <c r="E15" s="18"/>
      <c r="F15" s="18" t="s">
        <v>9</v>
      </c>
      <c r="G15" s="8"/>
      <c r="H15" s="24">
        <f>IF(COUNT(S22:S27)&gt;0,SUM(T22:T29)/S20,0)</f>
        <v>0</v>
      </c>
      <c r="I15" s="24"/>
      <c r="J15" s="146" t="s">
        <v>10</v>
      </c>
      <c r="K15" s="146"/>
      <c r="L15" s="146"/>
      <c r="M15" s="146"/>
      <c r="N15" s="18" t="b">
        <f>IF(SUM(T32:T37)&gt;0,SUM(T32:T37)/S30)</f>
        <v>0</v>
      </c>
      <c r="O15" s="18"/>
      <c r="P15" s="18"/>
      <c r="Q15" s="18"/>
      <c r="R15" s="19"/>
      <c r="S15" s="14"/>
      <c r="T15" s="32"/>
      <c r="U15" s="8"/>
      <c r="V15" s="8"/>
      <c r="W15" s="8"/>
      <c r="X15" s="8"/>
      <c r="Y15" s="8"/>
      <c r="Z15" s="8"/>
    </row>
    <row r="16" spans="1:26">
      <c r="A16" s="12"/>
      <c r="B16" s="12"/>
      <c r="C16" s="8"/>
      <c r="D16" s="18"/>
      <c r="E16" s="18"/>
      <c r="F16" s="18" t="s">
        <v>11</v>
      </c>
      <c r="G16" s="8"/>
      <c r="H16" s="24">
        <f>IF(SUM(T32:T37)&gt;0,H11*(SUM(T32:T37)/S30),0)+IF(SUM(T38:T46)&gt;0,H12*(SUM(T38:T46)/S47),0)</f>
        <v>0</v>
      </c>
      <c r="I16" s="24"/>
      <c r="J16" s="146" t="s">
        <v>12</v>
      </c>
      <c r="K16" s="146"/>
      <c r="L16" s="146"/>
      <c r="M16" s="146"/>
      <c r="N16" s="25" t="b">
        <f>IF(SUM(T38:T46)&gt;0,SUM(T38:T46)/S47)</f>
        <v>0</v>
      </c>
      <c r="O16" s="18"/>
      <c r="P16" s="18"/>
      <c r="Q16" s="18"/>
      <c r="R16" s="19"/>
      <c r="S16" s="14"/>
      <c r="T16" s="32"/>
      <c r="U16" s="8"/>
      <c r="V16" s="8"/>
      <c r="W16" s="8"/>
      <c r="X16" s="8"/>
      <c r="Y16" s="8"/>
      <c r="Z16" s="8"/>
    </row>
    <row r="17" spans="1:26" ht="15.4">
      <c r="A17" s="12"/>
      <c r="B17" s="12"/>
      <c r="C17" s="8"/>
      <c r="D17" s="18"/>
      <c r="E17" s="18"/>
      <c r="F17" s="26" t="s">
        <v>13</v>
      </c>
      <c r="G17" s="8"/>
      <c r="H17" s="70" t="e">
        <f>ROUND(2*(H9*H15+H10*H16),0)/2</f>
        <v>#VALUE!</v>
      </c>
      <c r="I17" s="74" t="s">
        <v>14</v>
      </c>
      <c r="K17" s="71" t="str">
        <f>IF(I17&lt;&gt;"","(Theoret. Note:","")</f>
        <v>(Theoret. Note:</v>
      </c>
      <c r="L17" s="73" t="e">
        <f>IF(I17&lt;&gt;"",H9*H15+H10*H16,"")</f>
        <v>#VALUE!</v>
      </c>
      <c r="M17" s="72" t="str">
        <f>IF(I17&lt;&gt;"",")","")</f>
        <v>)</v>
      </c>
      <c r="N17" s="72"/>
      <c r="O17" s="72"/>
      <c r="P17" s="18"/>
      <c r="Q17" s="18"/>
      <c r="R17" s="19"/>
      <c r="S17" s="14"/>
      <c r="T17" s="32"/>
      <c r="U17" s="8"/>
      <c r="V17" s="8"/>
      <c r="W17" s="8"/>
      <c r="X17" s="8"/>
      <c r="Y17" s="8"/>
      <c r="Z17" s="8"/>
    </row>
    <row r="18" spans="1:26">
      <c r="A18" s="12"/>
      <c r="B18" s="12"/>
      <c r="C18" s="18"/>
      <c r="D18" s="18"/>
      <c r="E18" s="18"/>
      <c r="F18" s="18"/>
      <c r="G18" s="18"/>
      <c r="H18" s="24" t="str">
        <f>IF(AND(COUNT(R22:R29)=8,COUNT(R32:R46)=15),"","(Es sind nicht alle Kriterien bewertet worden)")</f>
        <v>(Es sind nicht alle Kriterien bewertet worden)</v>
      </c>
      <c r="I18" s="24"/>
      <c r="J18" s="18"/>
      <c r="K18" s="18"/>
      <c r="L18" s="18"/>
      <c r="M18" s="18"/>
      <c r="N18" s="18"/>
      <c r="O18" s="18"/>
      <c r="P18" s="18"/>
      <c r="Q18" s="18"/>
      <c r="R18" s="19"/>
      <c r="S18" s="14"/>
      <c r="T18" s="32"/>
      <c r="U18" s="8"/>
      <c r="V18" s="8"/>
      <c r="W18" s="8"/>
      <c r="X18" s="8"/>
      <c r="Y18" s="8"/>
      <c r="Z18" s="8"/>
    </row>
    <row r="19" spans="1:2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4"/>
      <c r="T19" s="32"/>
      <c r="U19" s="8"/>
      <c r="V19" s="8"/>
      <c r="W19" s="8"/>
      <c r="X19" s="8"/>
      <c r="Y19" s="8"/>
      <c r="Z19" s="8"/>
    </row>
    <row r="20" spans="1:26" ht="14.65" thickBo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6"/>
      <c r="S20" s="27">
        <f>COUNTIF(S22:S29,"&gt;0")</f>
        <v>0</v>
      </c>
      <c r="T20" s="32"/>
      <c r="U20" s="48"/>
      <c r="V20" s="8"/>
      <c r="W20" s="8"/>
      <c r="X20" s="8"/>
      <c r="Y20" s="8"/>
      <c r="Z20" s="8"/>
    </row>
    <row r="21" spans="1:26" ht="14.1" customHeight="1" thickBot="1">
      <c r="A21" s="136"/>
      <c r="B21" s="136"/>
      <c r="C21" s="104" t="s">
        <v>15</v>
      </c>
      <c r="D21" s="104"/>
      <c r="E21" s="28"/>
      <c r="F21" s="83">
        <v>6</v>
      </c>
      <c r="G21" s="83"/>
      <c r="H21" s="83">
        <v>5</v>
      </c>
      <c r="I21" s="83"/>
      <c r="J21" s="83">
        <v>4</v>
      </c>
      <c r="K21" s="83"/>
      <c r="L21" s="83">
        <v>3</v>
      </c>
      <c r="M21" s="83"/>
      <c r="N21" s="134">
        <v>2</v>
      </c>
      <c r="O21" s="135"/>
      <c r="P21" s="134">
        <v>1</v>
      </c>
      <c r="Q21" s="134"/>
      <c r="R21" s="83" t="s">
        <v>16</v>
      </c>
      <c r="S21" s="83"/>
      <c r="T21" s="32"/>
      <c r="U21" s="29"/>
      <c r="V21" s="29"/>
      <c r="W21" s="8"/>
      <c r="X21" s="8"/>
      <c r="Y21" s="8"/>
      <c r="Z21" s="8"/>
    </row>
    <row r="22" spans="1:26" ht="20.100000000000001" customHeight="1">
      <c r="A22" s="140" t="s">
        <v>17</v>
      </c>
      <c r="B22" s="140"/>
      <c r="C22" s="141" t="str">
        <f>IF(OR(R22&gt;6,R23&gt;6,R24&gt;6,R25&gt;6,R26&gt;6),"!!Unerlaubte Bewertung!!","Engagement Haltung")</f>
        <v>Engagement Haltung</v>
      </c>
      <c r="D22" s="141"/>
      <c r="E22" s="30"/>
      <c r="F22" s="87" t="s">
        <v>18</v>
      </c>
      <c r="G22" s="87"/>
      <c r="H22" s="87" t="s">
        <v>19</v>
      </c>
      <c r="I22" s="87"/>
      <c r="J22" s="87" t="s">
        <v>20</v>
      </c>
      <c r="K22" s="87"/>
      <c r="L22" s="87" t="s">
        <v>21</v>
      </c>
      <c r="M22" s="87"/>
      <c r="N22" s="88" t="s">
        <v>22</v>
      </c>
      <c r="O22" s="90"/>
      <c r="P22" s="88" t="s">
        <v>23</v>
      </c>
      <c r="Q22" s="88"/>
      <c r="R22" s="31"/>
      <c r="S22" s="91" t="str">
        <f>IF(COUNT(R22:R26)=0,"",SUM(R22:R26)/COUNTIF(R22:R26,"&gt;0"))</f>
        <v/>
      </c>
      <c r="T22" s="32"/>
      <c r="U22" s="66"/>
      <c r="W22" s="34"/>
      <c r="X22" s="34"/>
      <c r="Y22" s="8"/>
      <c r="Z22" s="8"/>
    </row>
    <row r="23" spans="1:26" ht="20.100000000000001" customHeight="1" thickBot="1">
      <c r="A23" s="140"/>
      <c r="B23" s="140"/>
      <c r="C23" s="141"/>
      <c r="D23" s="141"/>
      <c r="E23" s="35"/>
      <c r="F23" s="103" t="s">
        <v>24</v>
      </c>
      <c r="G23" s="103"/>
      <c r="H23" s="103" t="s">
        <v>25</v>
      </c>
      <c r="I23" s="103"/>
      <c r="J23" s="103" t="s">
        <v>26</v>
      </c>
      <c r="K23" s="103"/>
      <c r="L23" s="103" t="s">
        <v>27</v>
      </c>
      <c r="M23" s="103"/>
      <c r="N23" s="92" t="s">
        <v>28</v>
      </c>
      <c r="O23" s="143"/>
      <c r="P23" s="92" t="s">
        <v>29</v>
      </c>
      <c r="Q23" s="92"/>
      <c r="R23" s="36"/>
      <c r="S23" s="91"/>
      <c r="T23" s="32"/>
      <c r="U23" s="66"/>
      <c r="V23" s="33"/>
      <c r="W23" s="34"/>
      <c r="X23" s="34"/>
      <c r="Y23" s="8"/>
      <c r="Z23" s="8"/>
    </row>
    <row r="24" spans="1:26" ht="20.100000000000001" customHeight="1" thickBot="1">
      <c r="A24" s="140"/>
      <c r="B24" s="140"/>
      <c r="C24" s="141"/>
      <c r="D24" s="141"/>
      <c r="E24" s="35"/>
      <c r="F24" s="103" t="s">
        <v>30</v>
      </c>
      <c r="G24" s="103"/>
      <c r="H24" s="103" t="s">
        <v>31</v>
      </c>
      <c r="I24" s="103"/>
      <c r="J24" s="103" t="s">
        <v>32</v>
      </c>
      <c r="K24" s="103"/>
      <c r="L24" s="103" t="s">
        <v>33</v>
      </c>
      <c r="M24" s="103"/>
      <c r="N24" s="92" t="s">
        <v>34</v>
      </c>
      <c r="O24" s="143"/>
      <c r="P24" s="92" t="s">
        <v>35</v>
      </c>
      <c r="Q24" s="92"/>
      <c r="R24" s="36"/>
      <c r="S24" s="91"/>
      <c r="T24" s="32">
        <f>IF(S22="",0,S22)</f>
        <v>0</v>
      </c>
      <c r="U24" s="66"/>
      <c r="V24" s="33"/>
      <c r="W24" s="34"/>
      <c r="X24" s="34"/>
      <c r="Y24" s="8"/>
      <c r="Z24" s="8"/>
    </row>
    <row r="25" spans="1:26" ht="20.100000000000001" customHeight="1" thickBot="1">
      <c r="A25" s="140"/>
      <c r="B25" s="140"/>
      <c r="C25" s="141"/>
      <c r="D25" s="141"/>
      <c r="E25" s="35"/>
      <c r="F25" s="103" t="s">
        <v>36</v>
      </c>
      <c r="G25" s="103"/>
      <c r="H25" s="103" t="s">
        <v>37</v>
      </c>
      <c r="I25" s="103"/>
      <c r="J25" s="103" t="s">
        <v>38</v>
      </c>
      <c r="K25" s="103"/>
      <c r="L25" s="103" t="s">
        <v>39</v>
      </c>
      <c r="M25" s="103"/>
      <c r="N25" s="92" t="s">
        <v>40</v>
      </c>
      <c r="O25" s="143"/>
      <c r="P25" s="92" t="s">
        <v>41</v>
      </c>
      <c r="Q25" s="92"/>
      <c r="R25" s="36"/>
      <c r="S25" s="91"/>
      <c r="T25" s="32"/>
      <c r="U25" s="66"/>
      <c r="V25" s="33"/>
      <c r="W25" s="34"/>
      <c r="X25" s="34"/>
      <c r="Y25" s="8"/>
      <c r="Z25" s="8"/>
    </row>
    <row r="26" spans="1:26" ht="20.100000000000001" customHeight="1" thickBot="1">
      <c r="A26" s="140"/>
      <c r="B26" s="140"/>
      <c r="C26" s="141"/>
      <c r="D26" s="141"/>
      <c r="E26" s="37"/>
      <c r="F26" s="98" t="s">
        <v>42</v>
      </c>
      <c r="G26" s="98"/>
      <c r="H26" s="98" t="s">
        <v>43</v>
      </c>
      <c r="I26" s="98"/>
      <c r="J26" s="98" t="s">
        <v>44</v>
      </c>
      <c r="K26" s="98"/>
      <c r="L26" s="98" t="s">
        <v>45</v>
      </c>
      <c r="M26" s="98"/>
      <c r="N26" s="144" t="s">
        <v>46</v>
      </c>
      <c r="O26" s="145"/>
      <c r="P26" s="89" t="s">
        <v>46</v>
      </c>
      <c r="Q26" s="89"/>
      <c r="R26" s="38"/>
      <c r="S26" s="91"/>
      <c r="T26" s="32"/>
      <c r="U26" s="66"/>
      <c r="V26" s="33"/>
      <c r="W26" s="34"/>
      <c r="X26" s="34"/>
      <c r="Y26" s="8"/>
      <c r="Z26" s="8"/>
    </row>
    <row r="27" spans="1:26" ht="20.100000000000001" customHeight="1" thickBot="1">
      <c r="A27" s="140"/>
      <c r="B27" s="140"/>
      <c r="C27" s="141" t="str">
        <f>IF(OR(R27&gt;6,R28&gt;6,R29&gt;6),"!!Unerlaubte Bewertung!!","Entwicklung")</f>
        <v>Entwicklung</v>
      </c>
      <c r="D27" s="141"/>
      <c r="E27" s="39"/>
      <c r="F27" s="87" t="s">
        <v>47</v>
      </c>
      <c r="G27" s="87"/>
      <c r="H27" s="87" t="s">
        <v>48</v>
      </c>
      <c r="I27" s="87"/>
      <c r="J27" s="87" t="s">
        <v>49</v>
      </c>
      <c r="K27" s="87"/>
      <c r="L27" s="88" t="s">
        <v>50</v>
      </c>
      <c r="M27" s="90"/>
      <c r="N27" s="88" t="s">
        <v>51</v>
      </c>
      <c r="O27" s="90"/>
      <c r="P27" s="90" t="s">
        <v>52</v>
      </c>
      <c r="Q27" s="90"/>
      <c r="R27" s="31"/>
      <c r="S27" s="86" t="str">
        <f>IF(COUNT(R27:R29)=0,"",SUM(R27:R29)/COUNTIF(R27:R29,"&gt;0"))</f>
        <v/>
      </c>
      <c r="T27" s="32"/>
      <c r="U27" s="66"/>
      <c r="V27" s="33"/>
      <c r="W27" s="34"/>
      <c r="X27" s="34"/>
      <c r="Y27" s="8"/>
      <c r="Z27" s="8"/>
    </row>
    <row r="28" spans="1:26" ht="37.5" customHeight="1" thickBot="1">
      <c r="A28" s="140"/>
      <c r="B28" s="140"/>
      <c r="C28" s="141"/>
      <c r="D28" s="141"/>
      <c r="E28" s="41"/>
      <c r="F28" s="103" t="s">
        <v>53</v>
      </c>
      <c r="G28" s="103"/>
      <c r="H28" s="103" t="s">
        <v>54</v>
      </c>
      <c r="I28" s="103"/>
      <c r="J28" s="103" t="s">
        <v>55</v>
      </c>
      <c r="K28" s="103"/>
      <c r="L28" s="103" t="s">
        <v>56</v>
      </c>
      <c r="M28" s="103"/>
      <c r="N28" s="92" t="s">
        <v>57</v>
      </c>
      <c r="O28" s="143"/>
      <c r="P28" s="143" t="s">
        <v>58</v>
      </c>
      <c r="Q28" s="143"/>
      <c r="R28" s="36"/>
      <c r="S28" s="86"/>
      <c r="T28" s="32">
        <f>IF(S27="",0,S27)</f>
        <v>0</v>
      </c>
      <c r="U28" s="66"/>
      <c r="V28" s="33"/>
      <c r="W28" s="34"/>
      <c r="X28" s="34"/>
      <c r="Y28" s="8"/>
      <c r="Z28" s="8"/>
    </row>
    <row r="29" spans="1:26" ht="30" customHeight="1" thickBot="1">
      <c r="A29" s="140"/>
      <c r="B29" s="140"/>
      <c r="C29" s="141"/>
      <c r="D29" s="141"/>
      <c r="E29" s="43"/>
      <c r="F29" s="98" t="s">
        <v>59</v>
      </c>
      <c r="G29" s="98"/>
      <c r="H29" s="98" t="s">
        <v>60</v>
      </c>
      <c r="I29" s="98"/>
      <c r="J29" s="98" t="s">
        <v>61</v>
      </c>
      <c r="K29" s="98"/>
      <c r="L29" s="98" t="s">
        <v>62</v>
      </c>
      <c r="M29" s="98"/>
      <c r="N29" s="144" t="s">
        <v>63</v>
      </c>
      <c r="O29" s="145"/>
      <c r="P29" s="132" t="s">
        <v>64</v>
      </c>
      <c r="Q29" s="132"/>
      <c r="R29" s="38"/>
      <c r="S29" s="86"/>
      <c r="T29" s="32"/>
      <c r="U29" s="66"/>
      <c r="V29" s="33"/>
      <c r="W29" s="34"/>
      <c r="X29" s="34"/>
      <c r="Y29" s="8"/>
      <c r="Z29" s="8"/>
    </row>
    <row r="30" spans="1:26" ht="20.100000000000001" customHeight="1" thickBot="1">
      <c r="A30" s="4"/>
      <c r="B30" s="4"/>
      <c r="C30" s="4"/>
      <c r="D30" s="4"/>
      <c r="E30" s="44"/>
      <c r="F30" s="4"/>
      <c r="G30" s="4"/>
      <c r="H30" s="4"/>
      <c r="I30" s="4"/>
      <c r="J30" s="4"/>
      <c r="K30" s="4"/>
      <c r="L30" s="4"/>
      <c r="M30" s="4"/>
      <c r="N30" s="75"/>
      <c r="O30" s="75"/>
      <c r="P30" s="4"/>
      <c r="Q30" s="4"/>
      <c r="R30" s="6"/>
      <c r="S30" s="27">
        <f>COUNTIF(T32:T37,"&gt;0")</f>
        <v>0</v>
      </c>
      <c r="T30" s="32"/>
      <c r="U30" s="81"/>
      <c r="V30" s="33"/>
      <c r="W30" s="34"/>
      <c r="X30" s="34"/>
      <c r="Y30" s="8"/>
      <c r="Z30" s="8"/>
    </row>
    <row r="31" spans="1:26" ht="15.75" customHeight="1" thickBot="1">
      <c r="A31" s="118"/>
      <c r="B31" s="111"/>
      <c r="C31" s="104" t="s">
        <v>15</v>
      </c>
      <c r="D31" s="104"/>
      <c r="E31" s="28"/>
      <c r="F31" s="83">
        <v>6</v>
      </c>
      <c r="G31" s="83"/>
      <c r="H31" s="83">
        <v>5</v>
      </c>
      <c r="I31" s="83"/>
      <c r="J31" s="83">
        <v>4</v>
      </c>
      <c r="K31" s="83"/>
      <c r="L31" s="83">
        <v>3</v>
      </c>
      <c r="M31" s="83"/>
      <c r="N31" s="134">
        <v>2</v>
      </c>
      <c r="O31" s="135"/>
      <c r="P31" s="83">
        <v>1</v>
      </c>
      <c r="Q31" s="83"/>
      <c r="R31" s="83" t="s">
        <v>16</v>
      </c>
      <c r="S31" s="83"/>
      <c r="T31" s="32"/>
      <c r="U31" s="67"/>
      <c r="V31" s="34"/>
      <c r="W31" s="34"/>
      <c r="X31" s="34"/>
      <c r="Y31" s="8"/>
      <c r="Z31" s="8"/>
    </row>
    <row r="32" spans="1:26" ht="40.5" customHeight="1" thickBot="1">
      <c r="A32" s="119" t="s">
        <v>65</v>
      </c>
      <c r="B32" s="122" t="s">
        <v>66</v>
      </c>
      <c r="C32" s="110" t="str">
        <f>IF(R32&gt;6,"!!Unerlaubte Bewertung!!","Themen- und Problemver-ständnis")</f>
        <v>Themen- und Problemver-ständnis</v>
      </c>
      <c r="D32" s="111"/>
      <c r="E32" s="45"/>
      <c r="F32" s="98" t="s">
        <v>67</v>
      </c>
      <c r="G32" s="98"/>
      <c r="H32" s="98" t="s">
        <v>68</v>
      </c>
      <c r="I32" s="98"/>
      <c r="J32" s="98" t="s">
        <v>69</v>
      </c>
      <c r="K32" s="98"/>
      <c r="L32" s="98" t="s">
        <v>70</v>
      </c>
      <c r="M32" s="98"/>
      <c r="N32" s="98" t="s">
        <v>71</v>
      </c>
      <c r="O32" s="98"/>
      <c r="P32" s="98" t="s">
        <v>72</v>
      </c>
      <c r="Q32" s="98"/>
      <c r="R32" s="84"/>
      <c r="S32" s="85"/>
      <c r="T32" s="32">
        <f>IF(R32="",0,R32)</f>
        <v>0</v>
      </c>
      <c r="U32" s="67"/>
      <c r="V32" s="34"/>
      <c r="W32" s="34"/>
      <c r="X32" s="34"/>
      <c r="Y32" s="8"/>
      <c r="Z32" s="8"/>
    </row>
    <row r="33" spans="1:26" ht="27.75" customHeight="1" thickBot="1">
      <c r="A33" s="120"/>
      <c r="B33" s="123"/>
      <c r="C33" s="110" t="str">
        <f>IF(R33&gt;6,"!!Unerlaubte Bewertung!!","Vorgaben eingehalten")</f>
        <v>Vorgaben eingehalten</v>
      </c>
      <c r="D33" s="111"/>
      <c r="F33" s="98" t="s">
        <v>73</v>
      </c>
      <c r="G33" s="98"/>
      <c r="H33" s="98" t="s">
        <v>74</v>
      </c>
      <c r="I33" s="98"/>
      <c r="J33" s="98" t="s">
        <v>75</v>
      </c>
      <c r="K33" s="98"/>
      <c r="L33" s="98" t="s">
        <v>76</v>
      </c>
      <c r="M33" s="98"/>
      <c r="N33" s="155" t="s">
        <v>77</v>
      </c>
      <c r="O33" s="156"/>
      <c r="P33" s="98" t="s">
        <v>78</v>
      </c>
      <c r="Q33" s="98"/>
      <c r="R33" s="84"/>
      <c r="S33" s="85"/>
      <c r="T33" s="32">
        <f>IF(R33="",0,R33)</f>
        <v>0</v>
      </c>
      <c r="U33" s="69"/>
    </row>
    <row r="34" spans="1:26" ht="30" customHeight="1">
      <c r="A34" s="120"/>
      <c r="B34" s="123"/>
      <c r="C34" s="112" t="str">
        <f>IF(OR(R34&gt;6,R35&gt;6,R36&gt;6),"!!Unerlaubte Bewertung!!","Funktionalität, Kreativität und Plausibilität des Produkts")</f>
        <v>Funktionalität, Kreativität und Plausibilität des Produkts</v>
      </c>
      <c r="D34" s="113"/>
      <c r="E34" s="30"/>
      <c r="F34" s="87" t="s">
        <v>79</v>
      </c>
      <c r="G34" s="87"/>
      <c r="H34" s="87" t="s">
        <v>80</v>
      </c>
      <c r="I34" s="87"/>
      <c r="J34" s="87" t="s">
        <v>81</v>
      </c>
      <c r="K34" s="87"/>
      <c r="L34" s="87" t="s">
        <v>82</v>
      </c>
      <c r="M34" s="87"/>
      <c r="N34" s="88" t="s">
        <v>83</v>
      </c>
      <c r="O34" s="90"/>
      <c r="P34" s="87" t="s">
        <v>84</v>
      </c>
      <c r="Q34" s="87"/>
      <c r="R34" s="40"/>
      <c r="S34" s="99" t="str">
        <f>IF(COUNT(R34:R36)=0,"",SUM(R34:R36)/COUNTIF(R34:R36,"&gt;0"))</f>
        <v/>
      </c>
      <c r="T34" s="32"/>
      <c r="U34" s="67"/>
      <c r="V34" s="34"/>
      <c r="W34" s="34"/>
      <c r="X34" s="34"/>
      <c r="Y34" s="8"/>
      <c r="Z34" s="8"/>
    </row>
    <row r="35" spans="1:26" ht="22.5" customHeight="1">
      <c r="A35" s="120"/>
      <c r="B35" s="123"/>
      <c r="C35" s="116"/>
      <c r="D35" s="117"/>
      <c r="E35" s="35"/>
      <c r="F35" s="103" t="s">
        <v>85</v>
      </c>
      <c r="G35" s="103"/>
      <c r="H35" s="103" t="s">
        <v>86</v>
      </c>
      <c r="I35" s="103"/>
      <c r="J35" s="103" t="s">
        <v>87</v>
      </c>
      <c r="K35" s="103"/>
      <c r="L35" s="103" t="s">
        <v>88</v>
      </c>
      <c r="M35" s="103"/>
      <c r="N35" s="103" t="s">
        <v>89</v>
      </c>
      <c r="O35" s="103"/>
      <c r="P35" s="103" t="s">
        <v>90</v>
      </c>
      <c r="Q35" s="103"/>
      <c r="R35" s="42"/>
      <c r="S35" s="100"/>
      <c r="T35" s="32">
        <f>IF(S34="",0,S34)</f>
        <v>0</v>
      </c>
      <c r="U35" s="67"/>
      <c r="V35" s="34"/>
      <c r="W35" s="34"/>
      <c r="X35" s="34"/>
      <c r="Y35" s="8"/>
      <c r="Z35" s="8"/>
    </row>
    <row r="36" spans="1:26" ht="20.100000000000001" customHeight="1" thickBot="1">
      <c r="A36" s="120"/>
      <c r="B36" s="123"/>
      <c r="C36" s="114"/>
      <c r="D36" s="115"/>
      <c r="E36" s="37"/>
      <c r="F36" s="102" t="s">
        <v>91</v>
      </c>
      <c r="G36" s="102"/>
      <c r="H36" s="102" t="s">
        <v>92</v>
      </c>
      <c r="I36" s="102"/>
      <c r="J36" s="102" t="s">
        <v>93</v>
      </c>
      <c r="K36" s="102"/>
      <c r="L36" s="102" t="s">
        <v>94</v>
      </c>
      <c r="M36" s="102"/>
      <c r="N36" s="144" t="s">
        <v>95</v>
      </c>
      <c r="O36" s="145"/>
      <c r="P36" s="102" t="s">
        <v>96</v>
      </c>
      <c r="Q36" s="102"/>
      <c r="R36" s="46"/>
      <c r="S36" s="101"/>
      <c r="T36" s="32"/>
      <c r="U36" s="67"/>
      <c r="V36" s="34"/>
      <c r="W36" s="34"/>
      <c r="X36" s="34"/>
      <c r="Y36" s="8"/>
      <c r="Z36" s="8"/>
    </row>
    <row r="37" spans="1:26" ht="30" customHeight="1" thickBot="1">
      <c r="A37" s="120"/>
      <c r="B37" s="124"/>
      <c r="C37" s="110" t="str">
        <f>IF(R37&gt;6,"!!Unerlaubte Bewertung!!","„Handwerkl.“ Qualität")</f>
        <v>„Handwerkl.“ Qualität</v>
      </c>
      <c r="D37" s="111"/>
      <c r="E37" s="45"/>
      <c r="F37" s="98" t="s">
        <v>97</v>
      </c>
      <c r="G37" s="98"/>
      <c r="H37" s="98" t="s">
        <v>98</v>
      </c>
      <c r="I37" s="98"/>
      <c r="J37" s="98" t="s">
        <v>99</v>
      </c>
      <c r="K37" s="98"/>
      <c r="L37" s="98" t="s">
        <v>100</v>
      </c>
      <c r="M37" s="98"/>
      <c r="N37" s="98" t="s">
        <v>101</v>
      </c>
      <c r="O37" s="98"/>
      <c r="P37" s="98" t="s">
        <v>102</v>
      </c>
      <c r="Q37" s="98"/>
      <c r="R37" s="84"/>
      <c r="S37" s="85"/>
      <c r="T37" s="32">
        <f>IF(R37="",0,R37)</f>
        <v>0</v>
      </c>
      <c r="U37" s="67"/>
      <c r="V37" s="34"/>
      <c r="W37" s="34"/>
      <c r="X37" s="34"/>
      <c r="Y37" s="8"/>
      <c r="Z37" s="8"/>
    </row>
    <row r="38" spans="1:26" s="54" customFormat="1" ht="27.75" customHeight="1">
      <c r="A38" s="120"/>
      <c r="B38" s="106" t="s">
        <v>103</v>
      </c>
      <c r="C38" s="147" t="str">
        <f>IF(OR(R38&gt;6,R39&gt;6),"!!Unerlaubte Bewertung!!","Bezug Theorie-Praxis")</f>
        <v>Bezug Theorie-Praxis</v>
      </c>
      <c r="D38" s="148"/>
      <c r="E38" s="79"/>
      <c r="F38" s="87" t="s">
        <v>104</v>
      </c>
      <c r="G38" s="87"/>
      <c r="H38" s="87" t="s">
        <v>105</v>
      </c>
      <c r="I38" s="87"/>
      <c r="J38" s="87" t="s">
        <v>106</v>
      </c>
      <c r="K38" s="87"/>
      <c r="L38" s="87" t="s">
        <v>107</v>
      </c>
      <c r="M38" s="87"/>
      <c r="N38" s="88" t="s">
        <v>108</v>
      </c>
      <c r="O38" s="90"/>
      <c r="P38" s="87" t="s">
        <v>109</v>
      </c>
      <c r="Q38" s="87"/>
      <c r="R38" s="77"/>
      <c r="S38" s="152" t="str">
        <f>IF(COUNT(R38:R39)=0,"",SUM(R38:R39)/COUNTIF(R38:R39,"&gt;0"))</f>
        <v/>
      </c>
      <c r="T38" s="51">
        <f>IF(S38="",0,S38)</f>
        <v>0</v>
      </c>
      <c r="U38" s="78"/>
      <c r="V38" s="52"/>
      <c r="W38" s="52"/>
      <c r="X38" s="52"/>
      <c r="Y38" s="53"/>
      <c r="Z38" s="53"/>
    </row>
    <row r="39" spans="1:26" s="54" customFormat="1" ht="27.75" customHeight="1" thickBot="1">
      <c r="A39" s="120"/>
      <c r="B39" s="107"/>
      <c r="C39" s="149"/>
      <c r="D39" s="150"/>
      <c r="E39" s="80"/>
      <c r="F39" s="130" t="s">
        <v>110</v>
      </c>
      <c r="G39" s="151"/>
      <c r="H39" s="130" t="s">
        <v>111</v>
      </c>
      <c r="I39" s="151"/>
      <c r="J39" s="130" t="s">
        <v>112</v>
      </c>
      <c r="K39" s="151"/>
      <c r="L39" s="130" t="s">
        <v>113</v>
      </c>
      <c r="M39" s="151"/>
      <c r="N39" s="130" t="s">
        <v>114</v>
      </c>
      <c r="O39" s="151"/>
      <c r="P39" s="130" t="s">
        <v>115</v>
      </c>
      <c r="Q39" s="131"/>
      <c r="R39" s="76"/>
      <c r="S39" s="91"/>
      <c r="T39" s="51"/>
      <c r="U39" s="68"/>
      <c r="V39" s="52"/>
      <c r="W39" s="52"/>
      <c r="X39" s="52"/>
      <c r="Y39" s="53"/>
      <c r="Z39" s="53"/>
    </row>
    <row r="40" spans="1:26" ht="30" customHeight="1">
      <c r="A40" s="120"/>
      <c r="B40" s="108"/>
      <c r="C40" s="112" t="str">
        <f>IF(OR(R40&gt;6,R41&gt;6),"!!Unerlaubte Bewertung!!","Sprache")</f>
        <v>Sprache</v>
      </c>
      <c r="D40" s="113"/>
      <c r="E40" s="30"/>
      <c r="F40" s="133" t="s">
        <v>116</v>
      </c>
      <c r="G40" s="133"/>
      <c r="H40" s="133" t="s">
        <v>117</v>
      </c>
      <c r="I40" s="133"/>
      <c r="J40" s="133" t="s">
        <v>118</v>
      </c>
      <c r="K40" s="133"/>
      <c r="L40" s="133" t="s">
        <v>119</v>
      </c>
      <c r="M40" s="133"/>
      <c r="N40" s="133" t="s">
        <v>120</v>
      </c>
      <c r="O40" s="133"/>
      <c r="P40" s="133" t="s">
        <v>121</v>
      </c>
      <c r="Q40" s="133"/>
      <c r="R40" s="40"/>
      <c r="S40" s="99" t="str">
        <f>IF(COUNT(R40:R41)=0,"",SUM(R40:R41)/COUNTIF(R40:R41,"&gt;0"))</f>
        <v/>
      </c>
      <c r="T40" s="32">
        <f>IF(S40="",0,S40)</f>
        <v>0</v>
      </c>
      <c r="U40" s="67"/>
      <c r="V40" s="34"/>
      <c r="W40" s="34"/>
      <c r="X40" s="34"/>
      <c r="Y40" s="8"/>
      <c r="Z40" s="8"/>
    </row>
    <row r="41" spans="1:26" ht="30" customHeight="1" thickBot="1">
      <c r="A41" s="120"/>
      <c r="B41" s="108"/>
      <c r="C41" s="114"/>
      <c r="D41" s="115"/>
      <c r="E41" s="37"/>
      <c r="F41" s="97" t="s">
        <v>122</v>
      </c>
      <c r="G41" s="97"/>
      <c r="H41" s="97" t="s">
        <v>123</v>
      </c>
      <c r="I41" s="97"/>
      <c r="J41" s="97" t="s">
        <v>124</v>
      </c>
      <c r="K41" s="97"/>
      <c r="L41" s="97" t="s">
        <v>125</v>
      </c>
      <c r="M41" s="97"/>
      <c r="N41" s="97" t="s">
        <v>126</v>
      </c>
      <c r="O41" s="97"/>
      <c r="P41" s="97" t="s">
        <v>127</v>
      </c>
      <c r="Q41" s="97"/>
      <c r="R41" s="46"/>
      <c r="S41" s="101"/>
      <c r="T41" s="32"/>
      <c r="U41" s="67"/>
      <c r="V41" s="34"/>
      <c r="W41" s="34"/>
      <c r="X41" s="34"/>
      <c r="Y41" s="8"/>
      <c r="Z41" s="8"/>
    </row>
    <row r="42" spans="1:26" ht="30" customHeight="1">
      <c r="A42" s="120"/>
      <c r="B42" s="108"/>
      <c r="C42" s="112" t="str">
        <f>IF(OR(R42&gt;6,R43&gt;6,R44&gt;6),"!!Unerlaubte Bewertung!!","Gestaltung")</f>
        <v>Gestaltung</v>
      </c>
      <c r="D42" s="113"/>
      <c r="E42" s="30"/>
      <c r="F42" s="125" t="s">
        <v>128</v>
      </c>
      <c r="G42" s="93"/>
      <c r="H42" s="93" t="s">
        <v>129</v>
      </c>
      <c r="I42" s="93"/>
      <c r="J42" s="93" t="s">
        <v>130</v>
      </c>
      <c r="K42" s="93"/>
      <c r="L42" s="93" t="s">
        <v>131</v>
      </c>
      <c r="M42" s="93"/>
      <c r="N42" s="153" t="s">
        <v>132</v>
      </c>
      <c r="O42" s="154"/>
      <c r="P42" s="93" t="s">
        <v>133</v>
      </c>
      <c r="Q42" s="128"/>
      <c r="R42" s="55"/>
      <c r="S42" s="99" t="str">
        <f>IF(COUNT(R42:R44)=0,"",SUM(R42:R44)/COUNTIF(R42:R44,"&gt;0"))</f>
        <v/>
      </c>
      <c r="T42" s="32"/>
      <c r="U42" s="67"/>
      <c r="V42" s="34"/>
      <c r="W42" s="34"/>
      <c r="X42" s="34"/>
      <c r="Y42" s="8"/>
      <c r="Z42" s="8"/>
    </row>
    <row r="43" spans="1:26" ht="20.100000000000001" customHeight="1">
      <c r="A43" s="120"/>
      <c r="B43" s="108"/>
      <c r="C43" s="116"/>
      <c r="D43" s="117"/>
      <c r="E43" s="35"/>
      <c r="F43" s="126" t="s">
        <v>134</v>
      </c>
      <c r="G43" s="103"/>
      <c r="H43" s="103" t="s">
        <v>135</v>
      </c>
      <c r="I43" s="103"/>
      <c r="J43" s="103" t="s">
        <v>136</v>
      </c>
      <c r="K43" s="103"/>
      <c r="L43" s="103" t="s">
        <v>137</v>
      </c>
      <c r="M43" s="103"/>
      <c r="N43" s="103" t="s">
        <v>138</v>
      </c>
      <c r="O43" s="105"/>
      <c r="P43" s="103" t="s">
        <v>139</v>
      </c>
      <c r="Q43" s="105"/>
      <c r="R43" s="56"/>
      <c r="S43" s="100"/>
      <c r="T43" s="32">
        <f>IF(S42="",0,S42)</f>
        <v>0</v>
      </c>
      <c r="U43" s="69"/>
      <c r="V43" s="34"/>
      <c r="W43" s="34"/>
      <c r="X43" s="34"/>
      <c r="Y43" s="8"/>
      <c r="Z43" s="8"/>
    </row>
    <row r="44" spans="1:26" ht="30" customHeight="1" thickBot="1">
      <c r="A44" s="120"/>
      <c r="B44" s="108"/>
      <c r="C44" s="114"/>
      <c r="D44" s="115"/>
      <c r="E44" s="37"/>
      <c r="F44" s="127" t="s">
        <v>140</v>
      </c>
      <c r="G44" s="94"/>
      <c r="H44" s="127" t="s">
        <v>141</v>
      </c>
      <c r="I44" s="94"/>
      <c r="J44" s="95" t="s">
        <v>142</v>
      </c>
      <c r="K44" s="96"/>
      <c r="L44" s="95" t="s">
        <v>143</v>
      </c>
      <c r="M44" s="96"/>
      <c r="N44" s="95" t="s">
        <v>144</v>
      </c>
      <c r="O44" s="96"/>
      <c r="P44" s="94" t="s">
        <v>145</v>
      </c>
      <c r="Q44" s="129"/>
      <c r="R44" s="46"/>
      <c r="S44" s="101"/>
      <c r="T44" s="32"/>
      <c r="U44" s="67"/>
      <c r="V44" s="34"/>
      <c r="W44" s="34"/>
      <c r="X44" s="34"/>
      <c r="Y44" s="8"/>
      <c r="Z44" s="8"/>
    </row>
    <row r="45" spans="1:26" ht="15" customHeight="1">
      <c r="A45" s="120"/>
      <c r="B45" s="108"/>
      <c r="C45" s="112" t="str">
        <f>IF(OR(R45&gt;6,R46&gt;6),"!!Unerlaubte Bewertung!!","Formale Vorgaben und Quellen ")</f>
        <v xml:space="preserve">Formale Vorgaben und Quellen </v>
      </c>
      <c r="D45" s="113"/>
      <c r="E45" s="30"/>
      <c r="F45" s="125" t="s">
        <v>146</v>
      </c>
      <c r="G45" s="93"/>
      <c r="H45" s="93" t="s">
        <v>147</v>
      </c>
      <c r="I45" s="93"/>
      <c r="J45" s="93" t="s">
        <v>148</v>
      </c>
      <c r="K45" s="93"/>
      <c r="L45" s="93" t="s">
        <v>149</v>
      </c>
      <c r="M45" s="93"/>
      <c r="N45" s="93" t="s">
        <v>150</v>
      </c>
      <c r="O45" s="128"/>
      <c r="P45" s="93" t="s">
        <v>151</v>
      </c>
      <c r="Q45" s="128"/>
      <c r="R45" s="55"/>
      <c r="S45" s="99" t="str">
        <f>IF(COUNT(R45:R46)=0,"",SUM(R45:R46)/COUNTIF(R45:R46,"&gt;0"))</f>
        <v/>
      </c>
      <c r="T45" s="32"/>
      <c r="U45" s="67"/>
      <c r="V45" s="34"/>
      <c r="W45" s="34"/>
      <c r="X45" s="34"/>
      <c r="Y45" s="8"/>
      <c r="Z45" s="8"/>
    </row>
    <row r="46" spans="1:26" ht="48.75" customHeight="1" thickBot="1">
      <c r="A46" s="121"/>
      <c r="B46" s="109"/>
      <c r="C46" s="114"/>
      <c r="D46" s="115"/>
      <c r="E46" s="37"/>
      <c r="F46" s="127" t="s">
        <v>152</v>
      </c>
      <c r="G46" s="94"/>
      <c r="H46" s="94" t="s">
        <v>153</v>
      </c>
      <c r="I46" s="94"/>
      <c r="J46" s="94" t="s">
        <v>154</v>
      </c>
      <c r="K46" s="94"/>
      <c r="L46" s="94" t="s">
        <v>155</v>
      </c>
      <c r="M46" s="94"/>
      <c r="N46" s="95" t="s">
        <v>156</v>
      </c>
      <c r="O46" s="96"/>
      <c r="P46" s="94" t="s">
        <v>157</v>
      </c>
      <c r="Q46" s="129"/>
      <c r="R46" s="47"/>
      <c r="S46" s="101"/>
      <c r="T46" s="32">
        <f>IF(S45="",0,S45)</f>
        <v>0</v>
      </c>
      <c r="U46" s="67"/>
      <c r="V46" s="34"/>
      <c r="W46" s="34"/>
      <c r="X46" s="34"/>
      <c r="Y46" s="8"/>
      <c r="Z46" s="8"/>
    </row>
    <row r="47" spans="1:26" ht="14.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6"/>
      <c r="S47" s="27">
        <f>COUNTIF(T38:T46,"&gt;0")</f>
        <v>0</v>
      </c>
      <c r="T47" s="32"/>
      <c r="U47" s="82"/>
      <c r="V47" s="8"/>
      <c r="W47" s="8"/>
      <c r="X47" s="8"/>
      <c r="Y47" s="8"/>
      <c r="Z47" s="8"/>
    </row>
    <row r="48" spans="1:26" ht="14.1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S48" s="48"/>
      <c r="T48" s="32"/>
      <c r="U48" s="67"/>
      <c r="V48" s="8"/>
      <c r="W48" s="8"/>
      <c r="X48" s="8"/>
      <c r="Y48" s="8"/>
      <c r="Z48" s="8"/>
    </row>
    <row r="49" spans="1:26" ht="14.1" customHeight="1">
      <c r="A49" s="8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8"/>
      <c r="M49" s="8"/>
      <c r="N49" s="8"/>
      <c r="O49" s="8"/>
      <c r="P49" s="8"/>
      <c r="Q49" s="8"/>
      <c r="S49" s="48"/>
      <c r="T49" s="32"/>
      <c r="U49" s="67"/>
      <c r="V49" s="8"/>
      <c r="W49" s="8"/>
      <c r="X49" s="8"/>
      <c r="Y49" s="8"/>
      <c r="Z49" s="8"/>
    </row>
    <row r="50" spans="1:26" ht="14.1" customHeight="1">
      <c r="A50" s="8"/>
      <c r="B50" s="50" t="s">
        <v>158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S50" s="48"/>
      <c r="T50" s="32"/>
      <c r="U50" s="67"/>
      <c r="V50" s="8"/>
      <c r="W50" s="8"/>
      <c r="X50" s="8"/>
      <c r="Y50" s="8"/>
      <c r="Z50" s="8"/>
    </row>
    <row r="51" spans="1:26" ht="14.1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S51" s="48"/>
      <c r="T51" s="32"/>
      <c r="U51" s="67"/>
      <c r="V51" s="8"/>
      <c r="W51" s="8"/>
      <c r="X51" s="8"/>
      <c r="Y51" s="8"/>
      <c r="Z51" s="8"/>
    </row>
    <row r="52" spans="1:26" ht="14.1" customHeight="1">
      <c r="A52" s="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8"/>
      <c r="M52" s="8"/>
      <c r="N52" s="8"/>
      <c r="O52" s="8"/>
      <c r="P52" s="8"/>
      <c r="Q52" s="8"/>
      <c r="S52" s="48"/>
      <c r="T52" s="32"/>
      <c r="U52" s="67"/>
      <c r="V52" s="8"/>
      <c r="W52" s="8"/>
      <c r="X52" s="8"/>
      <c r="Y52" s="8"/>
      <c r="Z52" s="8"/>
    </row>
    <row r="53" spans="1:26">
      <c r="A53" s="8"/>
      <c r="B53" s="50" t="s">
        <v>159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S53" s="48"/>
      <c r="T53" s="32"/>
      <c r="U53" s="67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S54" s="48"/>
      <c r="T54" s="32"/>
      <c r="U54" s="67"/>
      <c r="V54" s="8"/>
      <c r="W54" s="8"/>
      <c r="X54" s="8"/>
      <c r="Y54" s="8"/>
      <c r="Z54" s="8"/>
    </row>
    <row r="55" spans="1:26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58"/>
      <c r="S55" s="59"/>
      <c r="T55" s="60"/>
      <c r="U55" s="67"/>
      <c r="V55" s="34"/>
      <c r="W55" s="34"/>
      <c r="X55" s="34"/>
      <c r="Y55" s="8"/>
      <c r="Z55" s="8"/>
    </row>
    <row r="56" spans="1:2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58"/>
      <c r="S56" s="62"/>
      <c r="T56" s="63"/>
      <c r="U56" s="69"/>
      <c r="V56" s="61"/>
      <c r="W56" s="61"/>
      <c r="X56" s="61"/>
    </row>
    <row r="57" spans="1:26">
      <c r="A57" s="61"/>
      <c r="B57" s="61"/>
      <c r="C57" s="61"/>
      <c r="D57" s="61"/>
      <c r="E57" s="61"/>
      <c r="F57" s="64"/>
      <c r="G57" s="65"/>
      <c r="H57" s="65"/>
      <c r="I57" s="65"/>
      <c r="J57" s="65"/>
      <c r="K57" s="65"/>
      <c r="L57" s="61"/>
      <c r="M57" s="61"/>
      <c r="N57" s="61"/>
      <c r="O57" s="61"/>
      <c r="P57" s="61"/>
      <c r="Q57" s="61"/>
      <c r="R57" s="58"/>
      <c r="S57" s="62"/>
      <c r="T57" s="63"/>
      <c r="U57" s="69"/>
      <c r="V57" s="61"/>
      <c r="W57" s="61"/>
      <c r="X57" s="61"/>
    </row>
    <row r="58" spans="1:26">
      <c r="A58" s="61"/>
      <c r="B58" s="61"/>
      <c r="C58" s="61"/>
      <c r="D58" s="61"/>
      <c r="E58" s="61"/>
      <c r="F58" s="64"/>
      <c r="G58" s="64"/>
      <c r="H58" s="64"/>
      <c r="I58" s="64"/>
      <c r="J58" s="64"/>
      <c r="K58" s="64"/>
      <c r="L58" s="61"/>
      <c r="M58" s="61"/>
      <c r="N58" s="61"/>
      <c r="O58" s="61"/>
      <c r="P58" s="61"/>
      <c r="Q58" s="61"/>
      <c r="R58" s="58"/>
      <c r="S58" s="62"/>
      <c r="T58" s="63"/>
      <c r="U58" s="69"/>
      <c r="V58" s="61"/>
      <c r="W58" s="61"/>
      <c r="X58" s="61"/>
    </row>
    <row r="59" spans="1:26">
      <c r="A59" s="61"/>
      <c r="B59" s="61"/>
      <c r="C59" s="61"/>
      <c r="D59" s="61"/>
      <c r="E59" s="61"/>
      <c r="F59" s="64"/>
      <c r="G59" s="64"/>
      <c r="H59" s="64"/>
      <c r="I59" s="64"/>
      <c r="J59" s="64"/>
      <c r="K59" s="64"/>
      <c r="L59" s="61"/>
      <c r="M59" s="61"/>
      <c r="N59" s="61"/>
      <c r="O59" s="61"/>
      <c r="P59" s="61"/>
      <c r="Q59" s="61"/>
      <c r="R59" s="58"/>
      <c r="S59" s="62"/>
      <c r="T59" s="63"/>
      <c r="U59" s="69"/>
      <c r="V59" s="61"/>
      <c r="W59" s="61"/>
      <c r="X59" s="61"/>
    </row>
    <row r="60" spans="1:26">
      <c r="A60" s="61"/>
      <c r="B60" s="61"/>
      <c r="C60" s="61"/>
      <c r="D60" s="61"/>
      <c r="E60" s="61"/>
      <c r="F60" s="64"/>
      <c r="G60" s="64"/>
      <c r="H60" s="64"/>
      <c r="I60" s="64"/>
      <c r="J60" s="64"/>
      <c r="K60" s="64"/>
      <c r="L60" s="61"/>
      <c r="M60" s="61"/>
      <c r="N60" s="61"/>
      <c r="O60" s="61"/>
      <c r="P60" s="61"/>
      <c r="Q60" s="61"/>
      <c r="R60" s="58"/>
      <c r="S60" s="62"/>
      <c r="T60" s="63"/>
      <c r="U60" s="69"/>
      <c r="V60" s="61"/>
      <c r="W60" s="61"/>
      <c r="X60" s="61"/>
    </row>
    <row r="61" spans="1:26">
      <c r="A61" s="61"/>
      <c r="B61" s="61"/>
      <c r="C61" s="61"/>
      <c r="D61" s="61"/>
      <c r="E61" s="61"/>
      <c r="F61" s="64"/>
      <c r="G61" s="64"/>
      <c r="H61" s="64"/>
      <c r="I61" s="64"/>
      <c r="J61" s="64"/>
      <c r="K61" s="64"/>
      <c r="L61" s="61"/>
      <c r="M61" s="61"/>
      <c r="N61" s="61"/>
      <c r="O61" s="61"/>
      <c r="P61" s="61"/>
      <c r="Q61" s="61"/>
      <c r="R61" s="58"/>
      <c r="S61" s="62"/>
      <c r="T61" s="63"/>
      <c r="U61" s="69"/>
      <c r="V61" s="61"/>
      <c r="W61" s="61"/>
      <c r="X61" s="61"/>
    </row>
    <row r="62" spans="1:26">
      <c r="A62" s="61"/>
      <c r="B62" s="61"/>
      <c r="C62" s="61"/>
      <c r="D62" s="61"/>
      <c r="E62" s="61"/>
      <c r="F62" s="64"/>
      <c r="G62" s="64"/>
      <c r="H62" s="64"/>
      <c r="I62" s="64"/>
      <c r="J62" s="64"/>
      <c r="K62" s="64"/>
      <c r="L62" s="61"/>
      <c r="M62" s="61"/>
      <c r="N62" s="61"/>
      <c r="O62" s="61"/>
      <c r="P62" s="61"/>
      <c r="Q62" s="61"/>
      <c r="R62" s="58"/>
      <c r="S62" s="62"/>
      <c r="T62" s="63"/>
      <c r="U62" s="69"/>
      <c r="V62" s="61"/>
      <c r="W62" s="61"/>
      <c r="X62" s="61"/>
    </row>
    <row r="63" spans="1:26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58"/>
      <c r="S63" s="62"/>
      <c r="T63" s="63"/>
      <c r="U63" s="69"/>
      <c r="V63" s="61"/>
      <c r="W63" s="61"/>
      <c r="X63" s="61"/>
    </row>
    <row r="64" spans="1:26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58"/>
      <c r="S64" s="62"/>
      <c r="T64" s="63"/>
      <c r="U64" s="69"/>
      <c r="V64" s="61"/>
      <c r="W64" s="61"/>
      <c r="X64" s="61"/>
    </row>
    <row r="65" spans="1:24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58"/>
      <c r="S65" s="62"/>
      <c r="T65" s="63"/>
      <c r="U65" s="69"/>
      <c r="V65" s="61"/>
      <c r="W65" s="61"/>
      <c r="X65" s="61"/>
    </row>
    <row r="66" spans="1:24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58"/>
      <c r="S66" s="62"/>
      <c r="T66" s="63"/>
      <c r="U66" s="69"/>
      <c r="V66" s="61"/>
      <c r="W66" s="61"/>
      <c r="X66" s="61"/>
    </row>
    <row r="67" spans="1:24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58"/>
      <c r="S67" s="62"/>
      <c r="T67" s="63"/>
      <c r="U67" s="69"/>
      <c r="V67" s="61"/>
      <c r="W67" s="61"/>
      <c r="X67" s="61"/>
    </row>
    <row r="68" spans="1:24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58"/>
      <c r="S68" s="62"/>
      <c r="T68" s="63"/>
      <c r="U68" s="69"/>
      <c r="V68" s="61"/>
      <c r="W68" s="61"/>
      <c r="X68" s="61"/>
    </row>
    <row r="69" spans="1:24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58"/>
      <c r="S69" s="62"/>
      <c r="T69" s="63"/>
      <c r="U69" s="69"/>
      <c r="V69" s="61"/>
      <c r="W69" s="61"/>
      <c r="X69" s="61"/>
    </row>
    <row r="70" spans="1:24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58"/>
      <c r="S70" s="62"/>
      <c r="T70" s="63"/>
      <c r="U70" s="69"/>
      <c r="V70" s="61"/>
      <c r="W70" s="61"/>
      <c r="X70" s="61"/>
    </row>
    <row r="71" spans="1:24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58"/>
      <c r="S71" s="62"/>
      <c r="T71" s="63"/>
      <c r="U71" s="69"/>
      <c r="V71" s="61"/>
      <c r="W71" s="61"/>
      <c r="X71" s="61"/>
    </row>
    <row r="72" spans="1:24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58"/>
      <c r="S72" s="62"/>
      <c r="T72" s="63"/>
      <c r="U72" s="69"/>
      <c r="V72" s="61"/>
      <c r="W72" s="61"/>
      <c r="X72" s="61"/>
    </row>
    <row r="73" spans="1:24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58"/>
      <c r="S73" s="62"/>
      <c r="T73" s="63"/>
      <c r="U73" s="69"/>
      <c r="V73" s="61"/>
      <c r="W73" s="61"/>
      <c r="X73" s="61"/>
    </row>
    <row r="74" spans="1:2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58"/>
      <c r="S74" s="62"/>
      <c r="T74" s="63"/>
      <c r="U74" s="69"/>
      <c r="V74" s="61"/>
      <c r="W74" s="61"/>
      <c r="X74" s="61"/>
    </row>
    <row r="75" spans="1:24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58"/>
      <c r="S75" s="62"/>
      <c r="T75" s="63"/>
      <c r="U75" s="69"/>
      <c r="V75" s="61"/>
      <c r="W75" s="61"/>
      <c r="X75" s="61"/>
    </row>
    <row r="76" spans="1:24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58"/>
      <c r="S76" s="62"/>
      <c r="T76" s="63"/>
      <c r="U76" s="69"/>
      <c r="V76" s="61"/>
      <c r="W76" s="61"/>
      <c r="X76" s="61"/>
    </row>
    <row r="77" spans="1:24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58"/>
      <c r="S77" s="62"/>
      <c r="T77" s="63"/>
      <c r="U77" s="69"/>
      <c r="V77" s="61"/>
      <c r="W77" s="61"/>
      <c r="X77" s="61"/>
    </row>
    <row r="78" spans="1:24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58"/>
      <c r="S78" s="62"/>
      <c r="T78" s="63"/>
      <c r="U78" s="69"/>
      <c r="V78" s="61"/>
      <c r="W78" s="61"/>
      <c r="X78" s="61"/>
    </row>
    <row r="79" spans="1:24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58"/>
      <c r="S79" s="62"/>
      <c r="T79" s="63"/>
      <c r="U79" s="69"/>
      <c r="V79" s="61"/>
      <c r="W79" s="61"/>
      <c r="X79" s="61"/>
    </row>
    <row r="80" spans="1:24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58"/>
      <c r="S80" s="62"/>
      <c r="T80" s="63"/>
      <c r="U80" s="69"/>
      <c r="V80" s="61"/>
      <c r="W80" s="61"/>
      <c r="X80" s="61"/>
    </row>
    <row r="81" spans="1:24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58"/>
      <c r="S81" s="62"/>
      <c r="T81" s="63"/>
      <c r="U81" s="69"/>
      <c r="V81" s="61"/>
      <c r="W81" s="61"/>
      <c r="X81" s="61"/>
    </row>
    <row r="82" spans="1:24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58"/>
      <c r="S82" s="62"/>
      <c r="T82" s="63"/>
      <c r="U82" s="69"/>
      <c r="V82" s="61"/>
      <c r="W82" s="61"/>
      <c r="X82" s="61"/>
    </row>
    <row r="83" spans="1:24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58"/>
      <c r="S83" s="62"/>
      <c r="T83" s="63"/>
      <c r="U83" s="69"/>
      <c r="V83" s="61"/>
      <c r="W83" s="61"/>
      <c r="X83" s="61"/>
    </row>
    <row r="84" spans="1:2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58"/>
      <c r="S84" s="62"/>
      <c r="T84" s="63"/>
      <c r="U84" s="69"/>
      <c r="V84" s="61"/>
      <c r="W84" s="61"/>
      <c r="X84" s="61"/>
    </row>
    <row r="85" spans="1:24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58"/>
      <c r="S85" s="62"/>
      <c r="T85" s="63"/>
      <c r="U85" s="69"/>
      <c r="V85" s="61"/>
      <c r="W85" s="61"/>
      <c r="X85" s="61"/>
    </row>
    <row r="86" spans="1:24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58"/>
      <c r="S86" s="62"/>
      <c r="T86" s="63"/>
      <c r="U86" s="69"/>
      <c r="V86" s="61"/>
      <c r="W86" s="61"/>
      <c r="X86" s="61"/>
    </row>
    <row r="87" spans="1:24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58"/>
      <c r="S87" s="62"/>
      <c r="T87" s="63"/>
      <c r="U87" s="69"/>
      <c r="V87" s="61"/>
      <c r="W87" s="61"/>
      <c r="X87" s="61"/>
    </row>
    <row r="88" spans="1:24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58"/>
      <c r="S88" s="62"/>
      <c r="T88" s="63"/>
      <c r="U88" s="69"/>
      <c r="V88" s="61"/>
      <c r="W88" s="61"/>
      <c r="X88" s="61"/>
    </row>
    <row r="89" spans="1:24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58"/>
      <c r="S89" s="62"/>
      <c r="T89" s="63"/>
      <c r="U89" s="69"/>
      <c r="V89" s="61"/>
      <c r="W89" s="61"/>
      <c r="X89" s="61"/>
    </row>
    <row r="90" spans="1:24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58"/>
      <c r="S90" s="62"/>
      <c r="T90" s="63"/>
      <c r="U90" s="61"/>
      <c r="V90" s="61"/>
      <c r="W90" s="61"/>
      <c r="X90" s="61"/>
    </row>
    <row r="91" spans="1:24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58"/>
      <c r="S91" s="62"/>
      <c r="T91" s="63"/>
      <c r="U91" s="61"/>
      <c r="V91" s="61"/>
      <c r="W91" s="61"/>
      <c r="X91" s="61"/>
    </row>
    <row r="92" spans="1:24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58"/>
      <c r="S92" s="62"/>
      <c r="T92" s="63"/>
      <c r="U92" s="61"/>
      <c r="V92" s="61"/>
      <c r="W92" s="61"/>
      <c r="X92" s="61"/>
    </row>
    <row r="93" spans="1:24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58"/>
      <c r="S93" s="62"/>
      <c r="T93" s="63"/>
      <c r="U93" s="61"/>
      <c r="V93" s="61"/>
      <c r="W93" s="61"/>
      <c r="X93" s="61"/>
    </row>
    <row r="94" spans="1:2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58"/>
      <c r="S94" s="62"/>
      <c r="T94" s="63"/>
      <c r="U94" s="61"/>
      <c r="V94" s="61"/>
      <c r="W94" s="61"/>
      <c r="X94" s="61"/>
    </row>
    <row r="95" spans="1:24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58"/>
      <c r="S95" s="62"/>
      <c r="T95" s="63"/>
      <c r="U95" s="61"/>
      <c r="V95" s="61"/>
      <c r="W95" s="61"/>
      <c r="X95" s="61"/>
    </row>
    <row r="96" spans="1:24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58"/>
      <c r="S96" s="62"/>
      <c r="T96" s="63"/>
      <c r="U96" s="61"/>
      <c r="V96" s="61"/>
      <c r="W96" s="61"/>
      <c r="X96" s="61"/>
    </row>
    <row r="97" spans="1:24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58"/>
      <c r="S97" s="62"/>
      <c r="T97" s="63"/>
      <c r="U97" s="61"/>
      <c r="V97" s="61"/>
      <c r="W97" s="61"/>
      <c r="X97" s="61"/>
    </row>
    <row r="98" spans="1:24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58"/>
      <c r="S98" s="62"/>
      <c r="T98" s="63"/>
      <c r="U98" s="61"/>
      <c r="V98" s="61"/>
      <c r="W98" s="61"/>
      <c r="X98" s="61"/>
    </row>
    <row r="99" spans="1:24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58"/>
      <c r="S99" s="62"/>
      <c r="T99" s="63"/>
      <c r="U99" s="61"/>
      <c r="V99" s="61"/>
      <c r="W99" s="61"/>
      <c r="X99" s="61"/>
    </row>
    <row r="100" spans="1:24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58"/>
      <c r="S100" s="62"/>
      <c r="T100" s="63"/>
      <c r="U100" s="61"/>
      <c r="V100" s="61"/>
      <c r="W100" s="61"/>
      <c r="X100" s="61"/>
    </row>
    <row r="101" spans="1:24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58"/>
      <c r="S101" s="62"/>
      <c r="T101" s="63"/>
      <c r="U101" s="61"/>
      <c r="V101" s="61"/>
      <c r="W101" s="61"/>
      <c r="X101" s="61"/>
    </row>
    <row r="102" spans="1:24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58"/>
      <c r="S102" s="62"/>
      <c r="T102" s="63"/>
      <c r="U102" s="61"/>
      <c r="V102" s="61"/>
      <c r="W102" s="61"/>
      <c r="X102" s="61"/>
    </row>
    <row r="103" spans="1:24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58"/>
      <c r="S103" s="62"/>
      <c r="T103" s="63"/>
      <c r="U103" s="61"/>
      <c r="V103" s="61"/>
      <c r="W103" s="61"/>
      <c r="X103" s="61"/>
    </row>
    <row r="104" spans="1:2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58"/>
      <c r="S104" s="62"/>
      <c r="T104" s="63"/>
      <c r="U104" s="61"/>
      <c r="V104" s="61"/>
      <c r="W104" s="61"/>
      <c r="X104" s="61"/>
    </row>
    <row r="105" spans="1:24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58"/>
      <c r="S105" s="62"/>
      <c r="T105" s="63"/>
      <c r="U105" s="61"/>
      <c r="V105" s="61"/>
      <c r="W105" s="61"/>
      <c r="X105" s="61"/>
    </row>
    <row r="106" spans="1:24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58"/>
      <c r="S106" s="62"/>
      <c r="T106" s="63"/>
      <c r="U106" s="61"/>
      <c r="V106" s="61"/>
      <c r="W106" s="61"/>
      <c r="X106" s="61"/>
    </row>
    <row r="107" spans="1:24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58"/>
      <c r="S107" s="62"/>
      <c r="T107" s="63"/>
      <c r="U107" s="61"/>
      <c r="V107" s="61"/>
      <c r="W107" s="61"/>
      <c r="X107" s="61"/>
    </row>
    <row r="108" spans="1:24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58"/>
      <c r="S108" s="62"/>
      <c r="T108" s="63"/>
      <c r="U108" s="61"/>
      <c r="V108" s="61"/>
      <c r="W108" s="61"/>
      <c r="X108" s="61"/>
    </row>
    <row r="109" spans="1:24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58"/>
      <c r="S109" s="62"/>
      <c r="T109" s="63"/>
      <c r="U109" s="61"/>
      <c r="V109" s="61"/>
      <c r="W109" s="61"/>
      <c r="X109" s="61"/>
    </row>
    <row r="110" spans="1:24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58"/>
      <c r="S110" s="62"/>
      <c r="T110" s="63"/>
      <c r="U110" s="61"/>
      <c r="V110" s="61"/>
      <c r="W110" s="61"/>
      <c r="X110" s="61"/>
    </row>
    <row r="111" spans="1:24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58"/>
      <c r="S111" s="62"/>
      <c r="T111" s="63"/>
      <c r="U111" s="61"/>
      <c r="V111" s="61"/>
      <c r="W111" s="61"/>
      <c r="X111" s="61"/>
    </row>
    <row r="112" spans="1:24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58"/>
      <c r="S112" s="62"/>
      <c r="T112" s="63"/>
      <c r="U112" s="61"/>
      <c r="V112" s="61"/>
      <c r="W112" s="61"/>
      <c r="X112" s="61"/>
    </row>
    <row r="113" spans="1:24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58"/>
      <c r="S113" s="62"/>
      <c r="T113" s="63"/>
      <c r="U113" s="61"/>
      <c r="V113" s="61"/>
      <c r="W113" s="61"/>
      <c r="X113" s="61"/>
    </row>
    <row r="114" spans="1:2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58"/>
      <c r="S114" s="62"/>
      <c r="T114" s="63"/>
      <c r="U114" s="61"/>
      <c r="V114" s="61"/>
      <c r="W114" s="61"/>
      <c r="X114" s="61"/>
    </row>
    <row r="115" spans="1:24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58"/>
      <c r="S115" s="62"/>
      <c r="T115" s="63"/>
      <c r="U115" s="61"/>
      <c r="V115" s="61"/>
      <c r="W115" s="61"/>
      <c r="X115" s="61"/>
    </row>
    <row r="116" spans="1:24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58"/>
      <c r="S116" s="62"/>
      <c r="T116" s="63"/>
      <c r="U116" s="61"/>
      <c r="V116" s="61"/>
      <c r="W116" s="61"/>
      <c r="X116" s="61"/>
    </row>
    <row r="117" spans="1:24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58"/>
      <c r="S117" s="62"/>
      <c r="T117" s="63"/>
      <c r="U117" s="61"/>
      <c r="V117" s="61"/>
      <c r="W117" s="61"/>
      <c r="X117" s="61"/>
    </row>
  </sheetData>
  <sheetProtection algorithmName="SHA-512" hashValue="NGFmvpLviiWV4A49ZJWz3XcZKi0x/Cb+rLSInWZuL3UU5rVrH5vre5JPrz9kK9/UdjsUaCXL6D85itS/R/2XXA==" saltValue="I/3lq0UTKK8VAdixSL2q5w==" spinCount="100000" sheet="1" objects="1" scenarios="1"/>
  <mergeCells count="189">
    <mergeCell ref="N45:O45"/>
    <mergeCell ref="N46:O46"/>
    <mergeCell ref="N40:O40"/>
    <mergeCell ref="N41:O41"/>
    <mergeCell ref="P46:Q46"/>
    <mergeCell ref="P45:Q45"/>
    <mergeCell ref="S45:S46"/>
    <mergeCell ref="P28:Q28"/>
    <mergeCell ref="F29:G29"/>
    <mergeCell ref="H29:I29"/>
    <mergeCell ref="S38:S39"/>
    <mergeCell ref="N42:O42"/>
    <mergeCell ref="N43:O43"/>
    <mergeCell ref="P37:Q37"/>
    <mergeCell ref="P40:Q40"/>
    <mergeCell ref="S42:S44"/>
    <mergeCell ref="N28:O28"/>
    <mergeCell ref="N29:O29"/>
    <mergeCell ref="N32:O32"/>
    <mergeCell ref="N33:O33"/>
    <mergeCell ref="N34:O34"/>
    <mergeCell ref="J29:K29"/>
    <mergeCell ref="F28:G28"/>
    <mergeCell ref="H28:I28"/>
    <mergeCell ref="C38:D39"/>
    <mergeCell ref="F39:G39"/>
    <mergeCell ref="H39:I39"/>
    <mergeCell ref="J39:K39"/>
    <mergeCell ref="L39:M39"/>
    <mergeCell ref="N35:O35"/>
    <mergeCell ref="N36:O36"/>
    <mergeCell ref="N37:O37"/>
    <mergeCell ref="N38:O38"/>
    <mergeCell ref="N39:O39"/>
    <mergeCell ref="D4:H4"/>
    <mergeCell ref="M4:P4"/>
    <mergeCell ref="H9:I9"/>
    <mergeCell ref="H10:I10"/>
    <mergeCell ref="N22:O22"/>
    <mergeCell ref="N23:O23"/>
    <mergeCell ref="N24:O24"/>
    <mergeCell ref="N25:O25"/>
    <mergeCell ref="N26:O26"/>
    <mergeCell ref="P21:Q21"/>
    <mergeCell ref="J22:K22"/>
    <mergeCell ref="H26:I26"/>
    <mergeCell ref="J26:K26"/>
    <mergeCell ref="J23:K23"/>
    <mergeCell ref="L23:M23"/>
    <mergeCell ref="J25:K25"/>
    <mergeCell ref="L25:M25"/>
    <mergeCell ref="J24:K24"/>
    <mergeCell ref="L24:M24"/>
    <mergeCell ref="J15:M15"/>
    <mergeCell ref="J16:M16"/>
    <mergeCell ref="D6:S6"/>
    <mergeCell ref="A22:B29"/>
    <mergeCell ref="C22:D26"/>
    <mergeCell ref="F22:G22"/>
    <mergeCell ref="H22:I22"/>
    <mergeCell ref="F23:G23"/>
    <mergeCell ref="H23:I23"/>
    <mergeCell ref="F25:G25"/>
    <mergeCell ref="H25:I25"/>
    <mergeCell ref="F24:G24"/>
    <mergeCell ref="H24:I24"/>
    <mergeCell ref="F26:G26"/>
    <mergeCell ref="L26:M26"/>
    <mergeCell ref="C27:D29"/>
    <mergeCell ref="F27:G27"/>
    <mergeCell ref="H27:I27"/>
    <mergeCell ref="J27:K27"/>
    <mergeCell ref="J28:K28"/>
    <mergeCell ref="L28:M28"/>
    <mergeCell ref="N27:O27"/>
    <mergeCell ref="F33:G33"/>
    <mergeCell ref="F34:G34"/>
    <mergeCell ref="P35:Q35"/>
    <mergeCell ref="A21:B21"/>
    <mergeCell ref="C21:D21"/>
    <mergeCell ref="F21:G21"/>
    <mergeCell ref="H21:I21"/>
    <mergeCell ref="N21:O21"/>
    <mergeCell ref="H11:I11"/>
    <mergeCell ref="H12:I12"/>
    <mergeCell ref="P34:Q34"/>
    <mergeCell ref="F35:G35"/>
    <mergeCell ref="H35:I35"/>
    <mergeCell ref="F36:G36"/>
    <mergeCell ref="L34:M34"/>
    <mergeCell ref="J35:K35"/>
    <mergeCell ref="P36:Q36"/>
    <mergeCell ref="L35:M35"/>
    <mergeCell ref="J37:K37"/>
    <mergeCell ref="L37:M37"/>
    <mergeCell ref="N44:O44"/>
    <mergeCell ref="H41:I41"/>
    <mergeCell ref="P42:Q42"/>
    <mergeCell ref="H44:I44"/>
    <mergeCell ref="P44:Q44"/>
    <mergeCell ref="J42:K42"/>
    <mergeCell ref="H36:I36"/>
    <mergeCell ref="J36:K36"/>
    <mergeCell ref="H37:I37"/>
    <mergeCell ref="P39:Q39"/>
    <mergeCell ref="P38:Q38"/>
    <mergeCell ref="H38:I38"/>
    <mergeCell ref="H40:I40"/>
    <mergeCell ref="J40:K40"/>
    <mergeCell ref="L40:M40"/>
    <mergeCell ref="J38:K38"/>
    <mergeCell ref="L38:M38"/>
    <mergeCell ref="B38:B46"/>
    <mergeCell ref="C32:D32"/>
    <mergeCell ref="C40:D41"/>
    <mergeCell ref="C33:D33"/>
    <mergeCell ref="C34:D36"/>
    <mergeCell ref="C42:D44"/>
    <mergeCell ref="A31:B31"/>
    <mergeCell ref="F32:G32"/>
    <mergeCell ref="H32:I32"/>
    <mergeCell ref="A32:A46"/>
    <mergeCell ref="B32:B37"/>
    <mergeCell ref="F42:G42"/>
    <mergeCell ref="F43:G43"/>
    <mergeCell ref="H43:I43"/>
    <mergeCell ref="F44:G44"/>
    <mergeCell ref="C45:D46"/>
    <mergeCell ref="F45:G45"/>
    <mergeCell ref="H45:I45"/>
    <mergeCell ref="F46:G46"/>
    <mergeCell ref="H46:I46"/>
    <mergeCell ref="H42:I42"/>
    <mergeCell ref="F41:G41"/>
    <mergeCell ref="C37:D37"/>
    <mergeCell ref="F37:G37"/>
    <mergeCell ref="R33:S33"/>
    <mergeCell ref="S34:S36"/>
    <mergeCell ref="R37:S37"/>
    <mergeCell ref="S40:S41"/>
    <mergeCell ref="L36:M36"/>
    <mergeCell ref="L43:M43"/>
    <mergeCell ref="C31:D31"/>
    <mergeCell ref="F31:G31"/>
    <mergeCell ref="H31:I31"/>
    <mergeCell ref="J31:K31"/>
    <mergeCell ref="J32:K32"/>
    <mergeCell ref="J43:K43"/>
    <mergeCell ref="L42:M42"/>
    <mergeCell ref="P43:Q43"/>
    <mergeCell ref="H34:I34"/>
    <mergeCell ref="J34:K34"/>
    <mergeCell ref="P41:Q41"/>
    <mergeCell ref="R31:S31"/>
    <mergeCell ref="H33:I33"/>
    <mergeCell ref="P31:Q31"/>
    <mergeCell ref="P33:Q33"/>
    <mergeCell ref="P32:Q32"/>
    <mergeCell ref="F38:G38"/>
    <mergeCell ref="F40:G40"/>
    <mergeCell ref="J45:K45"/>
    <mergeCell ref="L45:M45"/>
    <mergeCell ref="L46:M46"/>
    <mergeCell ref="J46:K46"/>
    <mergeCell ref="J44:K44"/>
    <mergeCell ref="L44:M44"/>
    <mergeCell ref="J41:K41"/>
    <mergeCell ref="L41:M41"/>
    <mergeCell ref="L27:M27"/>
    <mergeCell ref="L29:M29"/>
    <mergeCell ref="L31:M31"/>
    <mergeCell ref="L33:M33"/>
    <mergeCell ref="J33:K33"/>
    <mergeCell ref="L32:M32"/>
    <mergeCell ref="R21:S21"/>
    <mergeCell ref="J21:K21"/>
    <mergeCell ref="L21:M21"/>
    <mergeCell ref="R32:S32"/>
    <mergeCell ref="S27:S29"/>
    <mergeCell ref="L22:M22"/>
    <mergeCell ref="P22:Q22"/>
    <mergeCell ref="P26:Q26"/>
    <mergeCell ref="P27:Q27"/>
    <mergeCell ref="S22:S26"/>
    <mergeCell ref="P23:Q23"/>
    <mergeCell ref="P24:Q24"/>
    <mergeCell ref="P25:Q25"/>
    <mergeCell ref="P29:Q29"/>
    <mergeCell ref="N31:O31"/>
  </mergeCells>
  <phoneticPr fontId="0" type="noConversion"/>
  <conditionalFormatting sqref="R22:R29 R32:R38 R40:R46">
    <cfRule type="cellIs" dxfId="4" priority="9" stopIfTrue="1" operator="lessThanOrEqual">
      <formula>6</formula>
    </cfRule>
    <cfRule type="cellIs" dxfId="3" priority="10" stopIfTrue="1" operator="greaterThan">
      <formula>6</formula>
    </cfRule>
  </conditionalFormatting>
  <conditionalFormatting sqref="C22:D29 C32:C34 C37:C38 C42 C45 C40">
    <cfRule type="cellIs" dxfId="2" priority="5" operator="equal">
      <formula>"!!Unerlaubte Bewertung!!"</formula>
    </cfRule>
  </conditionalFormatting>
  <conditionalFormatting sqref="R39">
    <cfRule type="cellIs" dxfId="1" priority="3" stopIfTrue="1" operator="greaterThan">
      <formula>6</formula>
    </cfRule>
    <cfRule type="cellIs" dxfId="0" priority="4" stopIfTrue="1" operator="lessThanOrEqual">
      <formula>6</formula>
    </cfRule>
  </conditionalFormatting>
  <pageMargins left="0.70833333333333337" right="0.70833333333333337" top="0.48194444444444445" bottom="0.47222222222222221" header="0" footer="0.51180555555555551"/>
  <pageSetup paperSize="9" firstPageNumber="0" orientation="landscape" horizontalDpi="300" verticalDpi="300" r:id="rId1"/>
  <headerFooter alignWithMargins="0"/>
  <rowBreaks count="1" manualBreakCount="1">
    <brk id="29" max="16383" man="1"/>
  </rowBreaks>
  <ignoredErrors>
    <ignoredError sqref="S22 S27 S4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"/>
  <sheetViews>
    <sheetView showGridLines="0" showRowColHeaders="0" zoomScale="130" zoomScaleNormal="130" workbookViewId="0"/>
  </sheetViews>
  <sheetFormatPr defaultColWidth="11.5703125" defaultRowHeight="14.45"/>
  <sheetData/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rtierung xmlns="20a21950-4ba2-46dd-a2eb-cefd44bd4adc" xsi:nil="true"/>
    <Verantwortung xmlns="20a21950-4ba2-46dd-a2eb-cefd44bd4adc" xsi:nil="true"/>
    <Beschreibung xmlns="20a21950-4ba2-46dd-a2eb-cefd44bd4adc" xsi:nil="true"/>
    <Bereich xmlns="20a21950-4ba2-46dd-a2eb-cefd44bd4adc" xsi:nil="true"/>
    <TaxCatchAll xmlns="7a909ea7-d219-4f5d-964f-5a50ddb3488d" xsi:nil="true"/>
    <_Flow_SignoffStatus xmlns="20a21950-4ba2-46dd-a2eb-cefd44bd4adc" xsi:nil="true"/>
    <lcf76f155ced4ddcb4097134ff3c332f xmlns="20a21950-4ba2-46dd-a2eb-cefd44bd4adc">
      <Terms xmlns="http://schemas.microsoft.com/office/infopath/2007/PartnerControls"/>
    </lcf76f155ced4ddcb4097134ff3c332f>
    <SharedWithUsers xmlns="7a909ea7-d219-4f5d-964f-5a50ddb3488d">
      <UserInfo>
        <DisplayName>Elisa Pfrunder</DisplayName>
        <AccountId>537</AccountId>
        <AccountType/>
      </UserInfo>
    </SharedWithUsers>
    <Genehmigung xmlns="20a21950-4ba2-46dd-a2eb-cefd44bd4adc">true</Genehmigung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10986E41FD2042BF348509EED030C0" ma:contentTypeVersion="24" ma:contentTypeDescription="Ein neues Dokument erstellen." ma:contentTypeScope="" ma:versionID="3627afc90c52f2bf3c22e2a9e16f0777">
  <xsd:schema xmlns:xsd="http://www.w3.org/2001/XMLSchema" xmlns:xs="http://www.w3.org/2001/XMLSchema" xmlns:p="http://schemas.microsoft.com/office/2006/metadata/properties" xmlns:ns2="20a21950-4ba2-46dd-a2eb-cefd44bd4adc" xmlns:ns3="7a909ea7-d219-4f5d-964f-5a50ddb3488d" targetNamespace="http://schemas.microsoft.com/office/2006/metadata/properties" ma:root="true" ma:fieldsID="dc8a85a6fac6834a6934a2d25403088e" ns2:_="" ns3:_="">
    <xsd:import namespace="20a21950-4ba2-46dd-a2eb-cefd44bd4adc"/>
    <xsd:import namespace="7a909ea7-d219-4f5d-964f-5a50ddb348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Beschreibung" minOccurs="0"/>
                <xsd:element ref="ns2:Verantwortung" minOccurs="0"/>
                <xsd:element ref="ns2:Sortierung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Bereich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Genehmigu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1950-4ba2-46dd-a2eb-cefd44bd4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Beschreibung" ma:index="12" nillable="true" ma:displayName="Beschreibung" ma:format="Dropdown" ma:internalName="Beschreibung">
      <xsd:simpleType>
        <xsd:restriction base="dms:Note">
          <xsd:maxLength value="255"/>
        </xsd:restriction>
      </xsd:simpleType>
    </xsd:element>
    <xsd:element name="Verantwortung" ma:index="13" nillable="true" ma:displayName="Verantwortung" ma:format="Dropdown" ma:internalName="Verantwortung">
      <xsd:simpleType>
        <xsd:restriction base="dms:Choice">
          <xsd:enumeration value="SI"/>
          <xsd:enumeration value="RZ"/>
          <xsd:enumeration value="RI"/>
          <xsd:enumeration value="SP"/>
        </xsd:restriction>
      </xsd:simpleType>
    </xsd:element>
    <xsd:element name="Sortierung" ma:index="14" nillable="true" ma:displayName="Sortierung" ma:decimals="0" ma:format="Dropdown" ma:internalName="Sortierung" ma:percentage="FALSE">
      <xsd:simpleType>
        <xsd:restriction base="dms:Number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Bereich" ma:index="21" nillable="true" ma:displayName="Bereich" ma:format="Dropdown" ma:internalName="Bereich">
      <xsd:simpleType>
        <xsd:restriction base="dms:Choice">
          <xsd:enumeration value="Organisation "/>
          <xsd:enumeration value="Personal"/>
          <xsd:enumeration value="Unterricht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tatus Unterschrift" ma:internalName="Status_x0020_Unterschrift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Bildmarkierungen" ma:readOnly="false" ma:fieldId="{5cf76f15-5ced-4ddc-b409-7134ff3c332f}" ma:taxonomyMulti="true" ma:sspId="39d22f72-7f00-4a5e-93bb-7489ac31d7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enehmigung" ma:index="31" nillable="true" ma:displayName="Genehmigung" ma:default="1" ma:format="Dropdown" ma:internalName="Genehmigung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09ea7-d219-4f5d-964f-5a50ddb348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6c5db3cf-1fee-4920-a78d-4653468a57bf}" ma:internalName="TaxCatchAll" ma:showField="CatchAllData" ma:web="7a909ea7-d219-4f5d-964f-5a50ddb348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9E7CA2-06FD-4B2F-9304-4753B62A91CE}"/>
</file>

<file path=customXml/itemProps2.xml><?xml version="1.0" encoding="utf-8"?>
<ds:datastoreItem xmlns:ds="http://schemas.openxmlformats.org/officeDocument/2006/customXml" ds:itemID="{FCA879D6-6229-43B3-87F3-B61DC5ECCC8F}"/>
</file>

<file path=customXml/itemProps3.xml><?xml version="1.0" encoding="utf-8"?>
<ds:datastoreItem xmlns:ds="http://schemas.openxmlformats.org/officeDocument/2006/customXml" ds:itemID="{28638B36-2575-4905-9533-5ACC152B9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Leuthardt, Andreas</dc:creator>
  <cp:keywords/>
  <dc:description/>
  <cp:lastModifiedBy>Andreas Leuthardt</cp:lastModifiedBy>
  <cp:revision/>
  <dcterms:created xsi:type="dcterms:W3CDTF">2011-05-28T08:08:16Z</dcterms:created>
  <dcterms:modified xsi:type="dcterms:W3CDTF">2021-12-06T09:14:11Z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0x0101004810986E41FD2042BF348509EED030C0</vt:lpwstr>
  </property>
  <property fmtid="{D5CDD505-2E9C-101B-9397-08002B2CF9AE}" pid="3" name="MediaServiceImageTags">
    <vt:lpwstr/>
  </property>
</Properties>
</file>
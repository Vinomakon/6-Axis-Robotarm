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vmo\Downloads\"/>
    </mc:Choice>
  </mc:AlternateContent>
  <xr:revisionPtr revIDLastSave="0" documentId="8_{2A3631D1-2EA2-4E3B-9AEC-748B279ADEF7}" xr6:coauthVersionLast="47" xr6:coauthVersionMax="47" xr10:uidLastSave="{00000000-0000-0000-0000-000000000000}"/>
  <bookViews>
    <workbookView xWindow="-108" yWindow="-108" windowWidth="23256" windowHeight="13896" xr2:uid="{DB1B8C9D-9720-45D7-8FC6-60548039E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4" i="1"/>
  <c r="E5" i="1"/>
  <c r="E6" i="1"/>
  <c r="E2" i="1"/>
  <c r="G2" i="1" l="1"/>
</calcChain>
</file>

<file path=xl/sharedStrings.xml><?xml version="1.0" encoding="utf-8"?>
<sst xmlns="http://schemas.openxmlformats.org/spreadsheetml/2006/main" count="17" uniqueCount="17">
  <si>
    <t>Part</t>
  </si>
  <si>
    <t>Amount</t>
  </si>
  <si>
    <t>Part-number</t>
  </si>
  <si>
    <t>G800W304018EU</t>
  </si>
  <si>
    <t>Terminal Block 1x02</t>
  </si>
  <si>
    <t>PR20204VBDN</t>
  </si>
  <si>
    <t>Male Pin Headers 2x04</t>
  </si>
  <si>
    <t>Male Pin Headers 1x04</t>
  </si>
  <si>
    <t>PPTC081LFBN-RC</t>
  </si>
  <si>
    <t>Female Socket Headers 1x08</t>
  </si>
  <si>
    <t>M20-9990245</t>
  </si>
  <si>
    <t>Male Pin Headers 1x02</t>
  </si>
  <si>
    <t>Price pP</t>
  </si>
  <si>
    <t>Price Total</t>
  </si>
  <si>
    <t>TMC2130 Driver</t>
  </si>
  <si>
    <t>TMCSILENTSTEPSTICK SPI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</si>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</sst>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h/en/products/detail/harwin-inc/M20-9990245/372822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h/en/products/detail/sullins-connector-solutions/PPTC081LFBN-RC/810147" TargetMode="External"/><Relationship Id="rId1" Type="http://schemas.openxmlformats.org/officeDocument/2006/relationships/hyperlink" Target="https://www.digikey.ch/en/products/detail/metz-connect-usa-inc/PR20204VBDN/12342882" TargetMode="External"/><Relationship Id="rId6" Type="http://schemas.openxmlformats.org/officeDocument/2006/relationships/hyperlink" Target="https://www.digikey.ch/de/products/detail/analog-devices-inc-maxim-integrated/TMCSILENTSTEPSTICK-SPI/6572861" TargetMode="External"/><Relationship Id="rId5" Type="http://schemas.openxmlformats.org/officeDocument/2006/relationships/hyperlink" Target="https://www.digikey.ch/de/products/detail/phoenix-contact/1984617/950849?s=N4IgTCBcDaIIwE4AcAWAbHA7CAugXyA" TargetMode="External"/><Relationship Id="rId4" Type="http://schemas.openxmlformats.org/officeDocument/2006/relationships/hyperlink" Target="https://www.digikey.ch/de/products/detail/amphenol-cs-commercial-products/G800W304018EU/13682993?s=N4IgTCBcDaIOIA4AMSDqBmJAWJBGBAogKo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A88A-4D81-484C-9838-7639354EF0B8}">
  <dimension ref="A1:G7"/>
  <sheetViews>
    <sheetView tabSelected="1" workbookViewId="0">
      <selection activeCell="B4" sqref="B4"/>
    </sheetView>
  </sheetViews>
  <sheetFormatPr defaultRowHeight="14.4" x14ac:dyDescent="0.3"/>
  <cols>
    <col min="1" max="1" width="25" customWidth="1"/>
    <col min="3" max="3" width="22.6640625" customWidth="1"/>
    <col min="5" max="5" width="1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  <c r="G1" t="s">
        <v>16</v>
      </c>
    </row>
    <row r="2" spans="1:7" x14ac:dyDescent="0.3">
      <c r="A2" t="s">
        <v>4</v>
      </c>
      <c r="B2">
        <v>4</v>
      </c>
      <c r="C2" s="2">
        <v>1984617</v>
      </c>
      <c r="D2">
        <v>0.56000000000000005</v>
      </c>
      <c r="E2">
        <f>B2*D2</f>
        <v>2.2400000000000002</v>
      </c>
      <c r="G2">
        <f>SUM(E2:E14)</f>
        <v>29.97</v>
      </c>
    </row>
    <row r="3" spans="1:7" x14ac:dyDescent="0.3">
      <c r="A3" t="s">
        <v>7</v>
      </c>
      <c r="B3">
        <v>7</v>
      </c>
      <c r="C3" s="1" t="s">
        <v>3</v>
      </c>
      <c r="D3">
        <v>0.09</v>
      </c>
      <c r="E3">
        <f t="shared" ref="E3:E14" si="0">B3*D3</f>
        <v>0.63</v>
      </c>
    </row>
    <row r="4" spans="1:7" x14ac:dyDescent="0.3">
      <c r="A4" t="s">
        <v>6</v>
      </c>
      <c r="B4">
        <v>7</v>
      </c>
      <c r="C4" s="1" t="s">
        <v>5</v>
      </c>
      <c r="D4">
        <v>0.11</v>
      </c>
      <c r="E4">
        <f t="shared" si="0"/>
        <v>0.77</v>
      </c>
    </row>
    <row r="5" spans="1:7" x14ac:dyDescent="0.3">
      <c r="A5" t="s">
        <v>11</v>
      </c>
      <c r="B5">
        <v>3</v>
      </c>
      <c r="C5" s="1" t="s">
        <v>10</v>
      </c>
      <c r="D5">
        <v>0.11</v>
      </c>
      <c r="E5">
        <f t="shared" si="0"/>
        <v>0.33</v>
      </c>
    </row>
    <row r="6" spans="1:7" x14ac:dyDescent="0.3">
      <c r="A6" t="s">
        <v>9</v>
      </c>
      <c r="B6">
        <v>15</v>
      </c>
      <c r="C6" s="1" t="s">
        <v>8</v>
      </c>
      <c r="D6">
        <v>0.5</v>
      </c>
      <c r="E6">
        <f t="shared" si="0"/>
        <v>7.5</v>
      </c>
    </row>
    <row r="7" spans="1:7" x14ac:dyDescent="0.3">
      <c r="A7" t="s">
        <v>14</v>
      </c>
      <c r="B7">
        <v>2</v>
      </c>
      <c r="C7" s="1" t="s">
        <v>15</v>
      </c>
      <c r="D7">
        <v>9.25</v>
      </c>
      <c r="E7">
        <f t="shared" si="0"/>
        <v>18.5</v>
      </c>
    </row>
  </sheetData>
  <hyperlinks>
    <hyperlink ref="C4" r:id="rId1" display="https://www.digikey.ch/en/products/detail/metz-connect-usa-inc/PR20204VBDN/12342882" xr:uid="{1CC53368-B2D8-444D-B468-47B11DEAE2AB}"/>
    <hyperlink ref="C6" r:id="rId2" display="https://www.digikey.ch/en/products/detail/sullins-connector-solutions/PPTC081LFBN-RC/810147" xr:uid="{A6DBAC73-57CF-44A1-9223-01DD93866119}"/>
    <hyperlink ref="C5" r:id="rId3" display="https://www.digikey.ch/en/products/detail/harwin-inc/M20-9990245/3728225" xr:uid="{A692AF73-F1C9-404D-B52B-EEFBB0BF613C}"/>
    <hyperlink ref="C3" r:id="rId4" xr:uid="{9F25B282-E5FF-4CA9-965E-C2D16AFC2332}"/>
    <hyperlink ref="C2" r:id="rId5" display="https://www.digikey.ch/de/products/detail/phoenix-contact/1984617/950849?s=N4IgTCBcDaIIwE4AcAWAbHA7CAugXyA" xr:uid="{6039CBE5-3174-483A-86B0-5DC308678B6F}"/>
    <hyperlink ref="C7" r:id="rId6" xr:uid="{893146BB-7CC3-422D-970B-9692240345B9}"/>
  </hyperlinks>
  <pageMargins left="0.7" right="0.7" top="0.75" bottom="0.75" header="0.3" footer="0.3"/>
  <pageSetup orientation="portrait" horizontalDpi="4294967293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2025-02-03T10:38:36Z</dcterms:created>
  <dcterms:modified xsi:type="dcterms:W3CDTF">2025-02-03T14:18:43Z</dcterms:modified>
</cp:coreProperties>
</file>
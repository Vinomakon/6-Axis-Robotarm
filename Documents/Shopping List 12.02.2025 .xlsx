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vovmo\Documents\Bäumlihof 3A\Maturaarbeit\Documents\"/>
    </mc:Choice>
  </mc:AlternateContent>
  <xr:revisionPtr revIDLastSave="0" documentId="13_ncr:1_{9DD4A12C-0844-46AA-A99A-3EBCF464C99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G7" i="1"/>
  <c r="E8" i="1"/>
  <c r="E7" i="1"/>
  <c r="G4" i="1"/>
  <c r="F4" i="1"/>
  <c r="F3" i="1"/>
  <c r="F2" i="1"/>
  <c r="G3" i="1"/>
  <c r="G2" i="1"/>
  <c r="J2" i="1" l="1"/>
</calcChain>
</file>

<file path=xl/sharedStrings.xml><?xml version="1.0" encoding="utf-8"?>
<sst xmlns="http://schemas.openxmlformats.org/spreadsheetml/2006/main" count="27" uniqueCount="21">
  <si>
    <t>Part</t>
  </si>
  <si>
    <t>Amount</t>
  </si>
  <si>
    <t>Part-number</t>
  </si>
  <si>
    <t>Price pP</t>
  </si>
  <si>
    <t>Price Total</t>
  </si>
  <si>
    <t>Total Price</t>
  </si>
  <si>
    <t>Total Price with VAT</t>
  </si>
  <si>
    <t>Driver Heatsink</t>
  </si>
  <si>
    <t>Link</t>
  </si>
  <si>
    <t>digikey.com</t>
  </si>
  <si>
    <t>EEU-FM1H101</t>
  </si>
  <si>
    <t>Capacitor 100uF 50V</t>
  </si>
  <si>
    <t>Driver TMC5160</t>
  </si>
  <si>
    <t>TMC5160SILENTSTEPSTICK</t>
  </si>
  <si>
    <t>Price pP with VAT</t>
  </si>
  <si>
    <t>Stepper Motor 60Ncm</t>
  </si>
  <si>
    <t>omc-stepperonline.com</t>
  </si>
  <si>
    <r>
      <t xml:space="preserve">Price (in </t>
    </r>
    <r>
      <rPr>
        <b/>
        <i/>
        <sz val="11"/>
        <color theme="1"/>
        <rFont val="Aptos Narrow"/>
        <family val="2"/>
      </rPr>
      <t>$</t>
    </r>
    <r>
      <rPr>
        <b/>
        <i/>
        <sz val="11"/>
        <color theme="1"/>
        <rFont val="Calibri"/>
        <family val="2"/>
        <scheme val="minor"/>
      </rPr>
      <t>)</t>
    </r>
  </si>
  <si>
    <t>Gearbox 20:1 Nema 17</t>
  </si>
  <si>
    <t>www.omc-stepperonline.com</t>
  </si>
  <si>
    <t>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</si>
</sst>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i/>
      <sz val="11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thin">
        <color indexed="64"/>
      </left>
      <right style="dashDot">
        <color indexed="64"/>
      </right>
      <top style="thin">
        <color indexed="64"/>
      </top>
      <bottom style="dashDot">
        <color indexed="64"/>
      </bottom>
      <diagonal/>
    </border>
    <border>
      <left style="dashDot">
        <color indexed="64"/>
      </left>
      <right style="dashDot">
        <color indexed="64"/>
      </right>
      <top style="thin">
        <color indexed="64"/>
      </top>
      <bottom style="dashDot">
        <color indexed="64"/>
      </bottom>
      <diagonal/>
    </border>
    <border>
      <left style="dashDot">
        <color indexed="64"/>
      </left>
      <right style="thin">
        <color indexed="64"/>
      </right>
      <top style="thin">
        <color indexed="64"/>
      </top>
      <bottom style="dashDot">
        <color indexed="64"/>
      </bottom>
      <diagonal/>
    </border>
    <border>
      <left style="thin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dashDot">
        <color indexed="64"/>
      </left>
      <right style="thin">
        <color indexed="64"/>
      </right>
      <top style="dashDot">
        <color indexed="64"/>
      </top>
      <bottom style="dashDot">
        <color indexed="64"/>
      </bottom>
      <diagonal/>
    </border>
    <border>
      <left style="thin">
        <color indexed="64"/>
      </left>
      <right style="dashDot">
        <color indexed="64"/>
      </right>
      <top style="dashDot">
        <color indexed="64"/>
      </top>
      <bottom style="thin">
        <color indexed="64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thin">
        <color indexed="64"/>
      </bottom>
      <diagonal/>
    </border>
    <border>
      <left style="dashDot">
        <color indexed="64"/>
      </left>
      <right style="thin">
        <color indexed="64"/>
      </right>
      <top style="dashDot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2" fillId="2" borderId="1" xfId="1" applyFill="1" applyBorder="1"/>
    <xf numFmtId="0" fontId="0" fillId="2" borderId="1" xfId="0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2" fillId="2" borderId="8" xfId="1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3" xfId="0" applyFill="1" applyBorder="1"/>
    <xf numFmtId="0" fontId="0" fillId="2" borderId="1" xfId="0" applyFill="1" applyBorder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ch/en/products/detail/panasonic-electronic-components/EEU-FM1H101/613753" TargetMode="External"/><Relationship Id="rId2" Type="http://schemas.openxmlformats.org/officeDocument/2006/relationships/hyperlink" Target="https://www.digikey.ch/en/products/detail/watterott-electronic-gmbh/201835/10071146" TargetMode="External"/><Relationship Id="rId1" Type="http://schemas.openxmlformats.org/officeDocument/2006/relationships/hyperlink" Target="https://www.digikey.ch/en/products/detail/analog-devices-inc-maxim-integrated/TMC5160SILENTSTEPSTICK/9990281" TargetMode="External"/><Relationship Id="rId5" Type="http://schemas.openxmlformats.org/officeDocument/2006/relationships/hyperlink" Target="https://www.omc-stepperonline.com/eg-series-planetary-gearbox-gear-ratio-20-1-backlash-20-arc-min-for-nema-17-stepper-motor-eg17-g20" TargetMode="External"/><Relationship Id="rId4" Type="http://schemas.openxmlformats.org/officeDocument/2006/relationships/hyperlink" Target="https://www.omc-stepperonline.com/e-series-nema-17-bipolar-60ncm-84-97oz-in-2-1a-42x42x60mm-4-wires-w-1m-cable-connector-17he24-2104s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"/>
  <sheetViews>
    <sheetView tabSelected="1" workbookViewId="0">
      <selection activeCell="I5" sqref="I5"/>
    </sheetView>
  </sheetViews>
  <sheetFormatPr defaultRowHeight="14.4" x14ac:dyDescent="0.3"/>
  <cols>
    <col min="1" max="1" width="20.44140625" customWidth="1"/>
    <col min="2" max="2" width="26.109375" customWidth="1"/>
    <col min="3" max="3" width="21.109375" customWidth="1"/>
    <col min="4" max="4" width="10.44140625" customWidth="1"/>
    <col min="5" max="5" width="13.109375" customWidth="1"/>
    <col min="6" max="6" width="15.88671875" customWidth="1"/>
    <col min="7" max="7" width="13.21875" customWidth="1"/>
    <col min="8" max="8" width="17.21875" customWidth="1"/>
    <col min="9" max="9" width="18.44140625" customWidth="1"/>
    <col min="10" max="10" width="18.88671875" customWidth="1"/>
    <col min="11" max="11" width="10.6640625" customWidth="1"/>
  </cols>
  <sheetData>
    <row r="1" spans="1:10" x14ac:dyDescent="0.3">
      <c r="A1" s="3" t="s">
        <v>0</v>
      </c>
      <c r="B1" s="4" t="s">
        <v>2</v>
      </c>
      <c r="C1" s="4" t="s">
        <v>8</v>
      </c>
      <c r="D1" s="4" t="s">
        <v>1</v>
      </c>
      <c r="E1" s="4" t="s">
        <v>3</v>
      </c>
      <c r="F1" s="4" t="s">
        <v>14</v>
      </c>
      <c r="G1" s="4" t="s">
        <v>4</v>
      </c>
      <c r="H1" s="12"/>
      <c r="I1" s="4" t="s">
        <v>5</v>
      </c>
      <c r="J1" s="5" t="s">
        <v>6</v>
      </c>
    </row>
    <row r="2" spans="1:10" x14ac:dyDescent="0.3">
      <c r="A2" s="6" t="s">
        <v>7</v>
      </c>
      <c r="B2" s="13">
        <v>201835</v>
      </c>
      <c r="C2" s="1" t="s">
        <v>9</v>
      </c>
      <c r="D2" s="2">
        <v>6</v>
      </c>
      <c r="E2" s="2">
        <v>1</v>
      </c>
      <c r="F2" s="2">
        <f>E2*1.081</f>
        <v>1.081</v>
      </c>
      <c r="G2" s="2">
        <f>D2*E2</f>
        <v>6</v>
      </c>
      <c r="H2" s="2"/>
      <c r="I2" s="2">
        <f>SUM(G2:G4)</f>
        <v>30.25</v>
      </c>
      <c r="J2" s="7">
        <f>I2*1.081</f>
        <v>32.700249999999997</v>
      </c>
    </row>
    <row r="3" spans="1:10" x14ac:dyDescent="0.3">
      <c r="A3" s="6" t="s">
        <v>12</v>
      </c>
      <c r="B3" s="2" t="s">
        <v>13</v>
      </c>
      <c r="C3" s="1" t="s">
        <v>9</v>
      </c>
      <c r="D3" s="2">
        <v>2</v>
      </c>
      <c r="E3" s="2">
        <v>11.54</v>
      </c>
      <c r="F3" s="2">
        <f t="shared" ref="F3:F25" si="0">E3*1.081</f>
        <v>12.474739999999999</v>
      </c>
      <c r="G3" s="2">
        <f>D3*E3</f>
        <v>23.08</v>
      </c>
      <c r="H3" s="2"/>
      <c r="I3" s="2"/>
      <c r="J3" s="7"/>
    </row>
    <row r="4" spans="1:10" x14ac:dyDescent="0.3">
      <c r="A4" s="8" t="s">
        <v>11</v>
      </c>
      <c r="B4" s="10" t="s">
        <v>10</v>
      </c>
      <c r="C4" s="9" t="s">
        <v>9</v>
      </c>
      <c r="D4" s="10">
        <v>3</v>
      </c>
      <c r="E4" s="10">
        <v>0.39</v>
      </c>
      <c r="F4" s="10">
        <f>E4*1.081</f>
        <v>0.42159000000000002</v>
      </c>
      <c r="G4" s="10">
        <f>D4*E4</f>
        <v>1.17</v>
      </c>
      <c r="H4" s="10"/>
      <c r="I4" s="10"/>
      <c r="J4" s="11"/>
    </row>
    <row r="6" spans="1:10" x14ac:dyDescent="0.3">
      <c r="A6" s="3" t="s">
        <v>0</v>
      </c>
      <c r="B6" s="4" t="s">
        <v>8</v>
      </c>
      <c r="C6" s="4" t="s">
        <v>1</v>
      </c>
      <c r="D6" s="4" t="s">
        <v>17</v>
      </c>
      <c r="E6" s="4" t="s">
        <v>20</v>
      </c>
      <c r="F6" s="4"/>
      <c r="G6" s="5" t="s">
        <v>4</v>
      </c>
    </row>
    <row r="7" spans="1:10" x14ac:dyDescent="0.3">
      <c r="A7" s="6" t="s">
        <v>15</v>
      </c>
      <c r="B7" s="1" t="s">
        <v>16</v>
      </c>
      <c r="C7" s="2">
        <v>3</v>
      </c>
      <c r="D7" s="2">
        <v>8.9700000000000006</v>
      </c>
      <c r="E7" s="2">
        <f>D7*0.9</f>
        <v>8.0730000000000004</v>
      </c>
      <c r="F7" s="2"/>
      <c r="G7" s="7">
        <f>SUM(E7:E8)</f>
        <v>35.001000000000005</v>
      </c>
    </row>
    <row r="8" spans="1:10" x14ac:dyDescent="0.3">
      <c r="A8" s="8" t="s">
        <v>18</v>
      </c>
      <c r="B8" s="9" t="s">
        <v>19</v>
      </c>
      <c r="C8" s="10">
        <v>1</v>
      </c>
      <c r="D8" s="10">
        <v>29.92</v>
      </c>
      <c r="E8" s="10">
        <f>D8*0.9</f>
        <v>26.928000000000001</v>
      </c>
      <c r="F8" s="10"/>
      <c r="G8" s="11"/>
    </row>
  </sheetData>
  <hyperlinks>
    <hyperlink ref="C3" r:id="rId1" xr:uid="{202D6CB6-8B31-4AEA-9484-26A0D3F9A669}"/>
    <hyperlink ref="C2" r:id="rId2" xr:uid="{29BCEB32-2F53-4184-9E41-17B14A803FD7}"/>
    <hyperlink ref="C4" r:id="rId3" xr:uid="{B08D218C-E0C6-4993-9091-E9AA101CFC9C}"/>
    <hyperlink ref="B7" r:id="rId4" xr:uid="{01EEE0C3-9AA5-4E6E-B018-071C80BCBF46}"/>
    <hyperlink ref="B8" r:id="rId5" xr:uid="{C12D85E1-CAC3-4ECF-9977-CE445E43F58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Vladimir Morozov</dc:creator>
  <cp:lastModifiedBy>Vladimir Morozov</cp:lastModifiedBy>
  <dcterms:created xsi:type="dcterms:W3CDTF">2015-06-05T18:19:34Z</dcterms:created>
  <dcterms:modified xsi:type="dcterms:W3CDTF">2025-02-13T14:13:45Z</dcterms:modified>
</cp:coreProperties>
</file>
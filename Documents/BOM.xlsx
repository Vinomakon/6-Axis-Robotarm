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ichStyles.xml" ContentType="application/vnd.ms-excel.richstyles+xml"/>
  <Override PartName="/xl/richData/rdsupportingpropertybagstructure.xml" ContentType="application/vnd.ms-excel.rdsupportingpropertybagstructure+xml"/>
  <Override PartName="/xl/richData/rdsupportingpropertybag.xml" ContentType="application/vnd.ms-excel.rdsupportingpropertybag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vovmo\Documents\GitHub\6-Axis-Robotarm\Documents\"/>
    </mc:Choice>
  </mc:AlternateContent>
  <xr:revisionPtr revIDLastSave="0" documentId="13_ncr:1_{BBBA2992-55FC-47C4-870C-13A05681EC9F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0" i="1" l="1"/>
  <c r="H19" i="1"/>
  <c r="H8" i="1"/>
  <c r="H9" i="1"/>
  <c r="H10" i="1"/>
  <c r="H11" i="1"/>
  <c r="H12" i="1"/>
  <c r="H13" i="1"/>
  <c r="H14" i="1"/>
  <c r="H15" i="1"/>
  <c r="H16" i="1"/>
  <c r="H7" i="1"/>
  <c r="K3" i="1" a="1"/>
  <c r="K3" i="1" s="1"/>
  <c r="K2" i="1" a="1"/>
  <c r="K2" i="1" s="1"/>
  <c r="H3" i="1" s="1"/>
  <c r="G2" i="1"/>
  <c r="G17" i="1"/>
  <c r="G16" i="1"/>
  <c r="G9" i="1"/>
  <c r="G10" i="1"/>
  <c r="G11" i="1"/>
  <c r="G12" i="1"/>
  <c r="G13" i="1"/>
  <c r="G14" i="1"/>
  <c r="G15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8" i="1"/>
  <c r="G7" i="1"/>
  <c r="G3" i="1"/>
  <c r="G4" i="1"/>
  <c r="G5" i="1"/>
  <c r="G6" i="1"/>
  <c r="H18" i="1" l="1"/>
  <c r="H17" i="1"/>
  <c r="H2" i="1"/>
  <c r="H6" i="1"/>
  <c r="H5" i="1"/>
  <c r="H4" i="1"/>
  <c r="H41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2">
    <bk>
      <extLst>
        <ext uri="{3e2802c4-a4d2-4d8b-9148-e3be6c30e623}">
          <xlrd:rvb i="1"/>
        </ext>
      </extLst>
    </bk>
    <bk>
      <extLst>
        <ext uri="{3e2802c4-a4d2-4d8b-9148-e3be6c30e623}">
          <xlrd:rvb i="3"/>
        </ext>
      </extLst>
    </bk>
  </futureMetadata>
  <cellMetadata count="1">
    <bk>
      <rc t="1" v="0"/>
    </bk>
  </cellMetadata>
  <valueMetadata count="2">
    <bk>
      <rc t="2" v="0"/>
    </bk>
    <bk>
      <rc t="2" v="1"/>
    </bk>
  </valueMetadata>
</metadata>
</file>

<file path=xl/sharedStrings.xml><?xml version="1.0" encoding="utf-8"?>
<sst xmlns="http://schemas.openxmlformats.org/spreadsheetml/2006/main" count="77" uniqueCount="53">
  <si>
    <t>Alternate Name</t>
  </si>
  <si>
    <t>Type</t>
  </si>
  <si>
    <t>Quantity</t>
  </si>
  <si>
    <t>Description</t>
  </si>
  <si>
    <t>Link</t>
  </si>
  <si>
    <t>Price</t>
  </si>
  <si>
    <t>Price pp</t>
  </si>
  <si>
    <t>Gearbox 20:1</t>
  </si>
  <si>
    <t>17HE08-1004S</t>
  </si>
  <si>
    <t>E Series Nema 17 Bipolar 1.8deg 17Ncm(24.07oz.in) 1A 42x42x23mm 4 Wires</t>
  </si>
  <si>
    <t>omc-stepperonline.com</t>
  </si>
  <si>
    <t>NEMA 17 Stepper 23mm</t>
  </si>
  <si>
    <t>Gearbox 10:1</t>
  </si>
  <si>
    <t>NEMA 17 Stepper 48mm</t>
  </si>
  <si>
    <t>NEMA 17 Stepper 60mm</t>
  </si>
  <si>
    <t>17HE24-2104S1</t>
  </si>
  <si>
    <t>E Series Nema 17 Bipolar 60Ncm(84.97oz.in) 2.1A 42x42x60mm 4 Wires w/ 1m Cable &amp; Connector</t>
  </si>
  <si>
    <t>E Series Nema 17 Bipolar 55Ncm(77.88oz.in) 2A 42x42x48mm 4 Wires w/ 1m Cable &amp; Connector</t>
  </si>
  <si>
    <t>17HE19-2004S</t>
  </si>
  <si>
    <t>EG17-G20</t>
  </si>
  <si>
    <t>EG17-G10</t>
  </si>
  <si>
    <t>EG Series Planetary Gearbox Gear Ratio 10:1 Backlash 15arc-min for Nema 17 Stepper Motor</t>
  </si>
  <si>
    <t>EG Series Planetary Gearbox Gear Ratio 20:1 Backlash 20arc-min for Nema 17 Stepper Motor</t>
  </si>
  <si>
    <t>HTD 3M Belt 10mm 396mm</t>
  </si>
  <si>
    <t>aliexpress.com</t>
  </si>
  <si>
    <t>10mm 3M 396(Teeth132)</t>
  </si>
  <si>
    <t>ZW12-3</t>
  </si>
  <si>
    <t>Rolling Limit Switch</t>
  </si>
  <si>
    <t>8mm Flange</t>
  </si>
  <si>
    <t>623ZZ</t>
  </si>
  <si>
    <t>3x10x4mm Bearing</t>
  </si>
  <si>
    <t>HTD 3M Belt 6mm 396mm</t>
  </si>
  <si>
    <t>6mm 3M 396(Teeth132)</t>
  </si>
  <si>
    <t>Braid Sleeving 10m 12mm</t>
  </si>
  <si>
    <t>Braid Sleeving 10m 16mm</t>
  </si>
  <si>
    <t>Timing Pulley 8mm with 16 Teeth</t>
  </si>
  <si>
    <t>Timing Pulley 8mm 10mm 16 Teeth</t>
  </si>
  <si>
    <t>Timing Pulley 5mm with 20 Teeth</t>
  </si>
  <si>
    <t>3 x Timing Pulley 6mm 10mm 20 Teeth</t>
  </si>
  <si>
    <t>HTD 3M Belt 10mm 228mm</t>
  </si>
  <si>
    <t>228mm-3M-(66 Teeth)</t>
  </si>
  <si>
    <t>Präzisions-Rillenkugellager 6007 2RS C2 ZV3 P5 GS 35x62x14 mm</t>
  </si>
  <si>
    <t>Miniatur Kugellager 623 ZZ / 2Z 3x10x4 mm</t>
  </si>
  <si>
    <t>kugellager-express.de</t>
  </si>
  <si>
    <t>623 ZZ / 2Z 3x10x4 mm</t>
  </si>
  <si>
    <t>6007 2RS C2 ZV3 P5 GS 35x62x14 mm</t>
  </si>
  <si>
    <t>Converted Price</t>
  </si>
  <si>
    <t>Ball Bearing 35x62x14 mm</t>
  </si>
  <si>
    <t>Ball Bearing 3x10x4 mm</t>
  </si>
  <si>
    <t>Big Ball Bearing</t>
  </si>
  <si>
    <t>Small Ball Bearing</t>
  </si>
  <si>
    <t>Received from school, estimated price 5.-</t>
  </si>
  <si>
    <t>Received from school, estimated price 7.-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</si>
</sst>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€-2]\ * #,##0.00_);_([$€-2]\ * \(#,##0.00\);_([$€-2]\ * &quot;-&quot;??_);_(@_)"/>
    <numFmt numFmtId="165" formatCode="_-* #,##0.00\ [$CHF-100C]_-;\-* #,##0.00\ [$CHF-100C]_-;_-* &quot;-&quot;??\ [$CHF-100C]_-;_-@_-"/>
    <numFmt numFmtId="166" formatCode="#,##0.00\ [$€-407]"/>
    <numFmt numFmtId="167" formatCode="#,##0.00\ [$CHF-100C];\-#,##0.00\ [$CHF-100C]"/>
    <numFmt numFmtId="168" formatCode="_-[$$-C09]* #,##0.00_-;\-[$$-C09]* #,##0.00_-;_-[$$-C09]* &quot;-&quot;??_-;_-@_-"/>
    <numFmt numFmtId="169" formatCode="_([$$-409]* #,##0.00_);_([$$-409]* \(#,##0.00\);_([$$-409]* &quot;-&quot;??_);_(@_)"/>
    <numFmt numFmtId="170" formatCode="[$CHF-807]\ #,##0.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12">
    <xf numFmtId="0" fontId="0" fillId="0" borderId="0" xfId="0"/>
    <xf numFmtId="0" fontId="2" fillId="0" borderId="0" xfId="0" applyFont="1"/>
    <xf numFmtId="0" fontId="3" fillId="0" borderId="0" xfId="2"/>
    <xf numFmtId="164" fontId="0" fillId="0" borderId="0" xfId="0" applyNumberFormat="1"/>
    <xf numFmtId="165" fontId="0" fillId="0" borderId="0" xfId="0" applyNumberFormat="1"/>
    <xf numFmtId="44" fontId="0" fillId="0" borderId="0" xfId="1" applyFon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43" fontId="0" fillId="0" borderId="0" xfId="0" applyNumberFormat="1"/>
    <xf numFmtId="170" fontId="0" fillId="0" borderId="0" xfId="0" applyNumberFormat="1"/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ichStyles" Target="richData/richStyl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12" Type="http://schemas.openxmlformats.org/officeDocument/2006/relationships/calcChain" Target="calcChain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11" Type="http://schemas.microsoft.com/office/2017/06/relationships/rdRichValueTypes" Target="richData/rdRichValueTypes.xml"/><Relationship Id="rId5" Type="http://schemas.openxmlformats.org/officeDocument/2006/relationships/sheetMetadata" Target="metadata.xml"/><Relationship Id="rId10" Type="http://schemas.microsoft.com/office/2017/06/relationships/rdSupportingPropertyBag" Target="richData/rdsupportingpropertybag.xml"/><Relationship Id="rId4" Type="http://schemas.openxmlformats.org/officeDocument/2006/relationships/sharedStrings" Target="sharedStrings.xml"/><Relationship Id="rId9" Type="http://schemas.microsoft.com/office/2017/06/relationships/rdSupportingPropertyBagStructure" Target="richData/rdsupportingpropertybagstructure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>
    <type name="_linkedentity">
      <keyFlags>
        <key name="%cvi">
          <flag name="ShowInCardView" value="0"/>
          <flag name="ShowInDotNotation" value="0"/>
          <flag name="ShowInAutoComplete" value="0"/>
          <flag name="ExcludeFromCalcComparison" value="1"/>
        </key>
      </keyFlags>
    </type>
    <type name="_linkedentitycore">
      <keyFlags>
        <key name="%EntityServiceId">
          <flag name="ShowInCardView" value="0"/>
          <flag name="ShowInDotNotation" value="0"/>
          <flag name="ShowInAutoComplete" value="0"/>
        </key>
        <key name="%EntitySubDomainId">
          <flag name="ShowInCardView" value="0"/>
          <flag name="ShowInDotNotation" value="0"/>
          <flag name="ShowInAutoComplete" value="0"/>
        </key>
        <key name="%EntityCulture">
          <flag name="ShowInCardView" value="0"/>
          <flag name="ShowInDotNotation" value="0"/>
          <flag name="ShowInAutoComplete" value="0"/>
        </key>
        <key name="%EntityId">
          <flag name="ShowInCardView" value="0"/>
          <flag name="ShowInDotNotation" value="0"/>
          <flag name="ShowInAutoComplete" value="0"/>
        </key>
        <key name="%IsRefreshable">
          <flag name="ShowInCardView" value="0"/>
          <flag name="ShowInAutoComplete" value="0"/>
          <flag name="ExcludeFromCalcComparison" value="1"/>
        </key>
        <key name="%ProviderInfo">
          <flag name="ShowInCardView" value="0"/>
          <flag name="ShowInDotNotation" value="0"/>
          <flag name="ShowInAutoComplete" value="0"/>
        </key>
        <key name="%DataProviderExternalLinkLogo">
          <flag name="ShowInCardView" value="0"/>
          <flag name="ShowInDotNotation" value="0"/>
          <flag name="ShowInAutoComplete" value="0"/>
        </key>
        <key name="%DataProviderExternalLink">
          <flag name="ShowInCardView" value="0"/>
          <flag name="ShowInDotNotation" value="0"/>
          <flag name="ShowInAutoComplete" value="0"/>
        </key>
        <key name="%OutdatedReason">
          <flag name="ShowInCardView" value="0"/>
          <flag name="ShowInDotNotation" value="0"/>
          <flag name="ShowInAutoComplete" value="0"/>
          <flag name="ExcludeFromCalcComparison" value="1"/>
        </key>
      </keyFlags>
    </type>
  </types>
</rvTypesInfo>
</file>

<file path=xl/richData/rdrichvalue.xml><?xml version="1.0" encoding="utf-8"?>
<rvData xmlns="http://schemas.microsoft.com/office/spreadsheetml/2017/richdata" count="4">
  <rv s="0">
    <v>en-US</v>
    <v>av923m</v>
    <v>268435456</v>
    <v>1</v>
    <v>Powered by Refinitiv</v>
    <v>0</v>
    <v>EUR/CHF</v>
    <v>2</v>
    <v>3</v>
    <v>Finance</v>
    <v>4</v>
    <v>0.96609999999999996</v>
    <v>0.91749999999999998</v>
    <v>-2.7000000000000001E-3</v>
    <v>-2.892E-3</v>
    <v>CHF</v>
    <v>EUR</v>
    <v>0.93440000000000001</v>
    <v>Currency Pair</v>
    <v>46009.766851851855</v>
    <v>0.93110000000000004</v>
    <v>Euro/Swiss Franc FX Cross Rate</v>
    <v>0.93369999999999997</v>
    <v>0.93369999999999997</v>
    <v>0.93100000000000005</v>
    <v>EURCHF</v>
    <v>EUR/CHF</v>
  </rv>
  <rv s="1">
    <v>0</v>
  </rv>
  <rv s="0">
    <v>en-US</v>
    <v>avyt7w</v>
    <v>268435456</v>
    <v>1</v>
    <v>Powered by Refinitiv</v>
    <v>0</v>
    <v>USD/CHF</v>
    <v>2</v>
    <v>3</v>
    <v>Finance</v>
    <v>4</v>
    <v>0.92</v>
    <v>0.78269999999999995</v>
    <v>-8.9999999999999998E-4</v>
    <v>-1.132E-3</v>
    <v>CHF</v>
    <v>USD</v>
    <v>0.79649999999999999</v>
    <v>Currency Pair</v>
    <v>46009.766851851855</v>
    <v>0.79300000000000004</v>
    <v>US Dollar/Swiss Franc FX Spot Rate</v>
    <v>0.79490000000000005</v>
    <v>0.7954</v>
    <v>0.79449999999999998</v>
    <v>USDCHF</v>
    <v>USD/CHF</v>
  </rv>
  <rv s="1">
    <v>2</v>
  </rv>
</rvData>
</file>

<file path=xl/richData/rdrichvaluestructure.xml><?xml version="1.0" encoding="utf-8"?>
<rvStructures xmlns="http://schemas.microsoft.com/office/spreadsheetml/2017/richdata" count="2">
  <s t="_linkedentitycore">
    <k n="%EntityCulture" t="s"/>
    <k n="%EntityId" t="s"/>
    <k n="%EntityServiceId"/>
    <k n="%IsRefreshable" t="b"/>
    <k n="%ProviderInfo" t="s"/>
    <k n="_Display" t="spb"/>
    <k n="_DisplayString" t="s"/>
    <k n="_Flags" t="spb"/>
    <k n="_Format" t="spb"/>
    <k n="_Icon" t="s"/>
    <k n="_SubLabel" t="spb"/>
    <k n="52 week high"/>
    <k n="52 week low"/>
    <k n="Change"/>
    <k n="Change (%)"/>
    <k n="Currency" t="s"/>
    <k n="From currency" t="s"/>
    <k n="High"/>
    <k n="Instrument type" t="s"/>
    <k n="Last trade time"/>
    <k n="Low"/>
    <k n="Name" t="s"/>
    <k n="Open"/>
    <k n="Previous close"/>
    <k n="Price"/>
    <k n="Ticker symbol" t="s"/>
    <k n="UniqueName" t="s"/>
  </s>
  <s t="_linkedentity">
    <k n="%cvi" t="r"/>
  </s>
</rvStructures>
</file>

<file path=xl/richData/rdsupportingpropertybag.xml><?xml version="1.0" encoding="utf-8"?>
<supportingPropertyBags xmlns="http://schemas.microsoft.com/office/spreadsheetml/2017/richdata2">
  <spbArrays count="1">
    <a count="27">
      <v t="s">%EntityServiceId</v>
      <v t="s">_Format</v>
      <v t="s">%IsRefreshable</v>
      <v t="s">%EntityCulture</v>
      <v t="s">%EntityId</v>
      <v t="s">_Icon</v>
      <v t="s">_Display</v>
      <v t="s">Name</v>
      <v t="s">Price</v>
      <v t="s">_SubLabel</v>
      <v t="s">Last trade time</v>
      <v t="s">Ticker symbol</v>
      <v t="s">Change</v>
      <v t="s">Change (%)</v>
      <v t="s">Currency</v>
      <v t="s">From currency</v>
      <v t="s">Previous close</v>
      <v t="s">Open</v>
      <v t="s">High</v>
      <v t="s">Low</v>
      <v t="s">52 week high</v>
      <v t="s">52 week low</v>
      <v t="s">Instrument type</v>
      <v t="s">_Flags</v>
      <v t="s">UniqueName</v>
      <v t="s">_DisplayString</v>
      <v t="s">%ProviderInfo</v>
    </a>
  </spbArrays>
  <spbData count="5">
    <spb s="0">
      <v>0</v>
      <v>Name</v>
    </spb>
    <spb s="1">
      <v>0</v>
      <v>0</v>
      <v>0</v>
    </spb>
    <spb s="2">
      <v>1</v>
      <v>1</v>
    </spb>
    <spb s="3">
      <v>1</v>
      <v>1</v>
      <v>2</v>
      <v>1</v>
      <v>1</v>
      <v>1</v>
      <v>3</v>
      <v>1</v>
      <v>1</v>
      <v>1</v>
      <v>4</v>
      <v>5</v>
    </spb>
    <spb s="4">
      <v>GMT</v>
    </spb>
  </spbData>
</supportingPropertyBags>
</file>

<file path=xl/richData/rdsupportingpropertybagstructure.xml><?xml version="1.0" encoding="utf-8"?>
<spbStructures xmlns="http://schemas.microsoft.com/office/spreadsheetml/2017/richdata2" count="5">
  <s>
    <k n="^Order" t="spba"/>
    <k n="TitleProperty" t="s"/>
  </s>
  <s>
    <k n="ShowInCardView" t="b"/>
    <k n="ShowInDotNotation" t="b"/>
    <k n="ShowInAutoComplete" t="b"/>
  </s>
  <s>
    <k n="UniqueName" t="spb"/>
    <k n="`%ProviderInfo" t="spb"/>
  </s>
  <s>
    <k n="Low" t="i"/>
    <k n="High" t="i"/>
    <k n="Name" t="i"/>
    <k n="Open" t="i"/>
    <k n="Price" t="i"/>
    <k n="Change" t="i"/>
    <k n="Change (%)" t="i"/>
    <k n="52 week low" t="i"/>
    <k n="52 week high" t="i"/>
    <k n="Previous close" t="i"/>
    <k n="Last trade time" t="i"/>
    <k n="`%EntityServiceId" t="i"/>
  </s>
  <s>
    <k n="Last trade time" t="s"/>
  </s>
</spbStructures>
</file>

<file path=xl/richData/richStyles.xml><?xml version="1.0" encoding="utf-8"?>
<richStyleSheet xmlns="http://schemas.microsoft.com/office/spreadsheetml/2017/richdata2" xmlns:mc="http://schemas.openxmlformats.org/markup-compatibility/2006" xmlns:x="http://schemas.openxmlformats.org/spreadsheetml/2006/main" mc:Ignorable="x">
  <dxfs count="4">
    <x:dxf>
      <x:numFmt numFmtId="2" formatCode="0.00"/>
    </x:dxf>
    <x:dxf>
      <x:numFmt numFmtId="27" formatCode="m/d/yyyy\ h:mm"/>
    </x:dxf>
    <x:dxf>
      <x:numFmt numFmtId="14" formatCode="0.00%"/>
    </x:dxf>
    <x:dxf>
      <x:numFmt numFmtId="0" formatCode="General"/>
    </x:dxf>
  </dxfs>
  <richProperties>
    <rPr n="NumberFormat" t="s"/>
    <rPr n="IsTitleField" t="b"/>
  </richProperties>
  <richStyles>
    <rSty dxfid="3">
      <rpv i="0">_-* #,##0.00 [$CHF-fr-CH]_-;-* #,##0.00 [$CHF-fr-CH]_-;_-* "-"?? [$CHF-fr-CH]_-;_-@_-</rpv>
    </rSty>
    <rSty>
      <rpv i="1">1</rpv>
    </rSty>
    <rSty dxfid="2"/>
    <rSty dxfid="1"/>
    <rSty dxfid="0">
      <rpv i="0">0.00</rpv>
    </rSty>
  </richStyles>
</rich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de.aliexpress.com/item/1005002844903085.html?spm=a2g0o.order_list.order_list_main.231.287b5c5ff2wfhR&amp;gatewayAdapt=glo2deu" TargetMode="External"/><Relationship Id="rId13" Type="http://schemas.openxmlformats.org/officeDocument/2006/relationships/hyperlink" Target="https://de.aliexpress.com/item/560947729.html?spm=a2g0o.order_list.order_list_main.326.287b5c5ff2wfhR&amp;gatewayAdapt=glo2deu" TargetMode="External"/><Relationship Id="rId18" Type="http://schemas.openxmlformats.org/officeDocument/2006/relationships/hyperlink" Target="https://de.aliexpress.com/item/1005007486025295.html?spm=a2g0o.order_list.order_list_main.111.287b5c5ff2wfhR&amp;gatewayAdapt=glo2deu" TargetMode="External"/><Relationship Id="rId26" Type="http://schemas.openxmlformats.org/officeDocument/2006/relationships/hyperlink" Target="https://www.kugellager-express.de/praezisions-rillenkugellager-6007-2rs-c2-zv3-p5-gs-35x62x14-mm" TargetMode="External"/><Relationship Id="rId3" Type="http://schemas.openxmlformats.org/officeDocument/2006/relationships/hyperlink" Target="https://www.omc-stepperonline.com/e-series-nema-17-bipolar-55ncm-77-88oz-in-2a-42x48mm-4-wires-w-1m-cable-connector-17he19-2004s" TargetMode="External"/><Relationship Id="rId21" Type="http://schemas.openxmlformats.org/officeDocument/2006/relationships/hyperlink" Target="https://de.aliexpress.com/item/1005006454716533.html?spm=a2g0o.order_list.order_list_main.236.287b5c5ff2wfhR&amp;gatewayAdapt=glo2deu" TargetMode="External"/><Relationship Id="rId7" Type="http://schemas.openxmlformats.org/officeDocument/2006/relationships/hyperlink" Target="https://de.aliexpress.com/item/1005004916376607.html?spm=a2g0o.order_list.order_list_main.186.287b5c5ff2wfhR&amp;gatewayAdapt=glo2deu" TargetMode="External"/><Relationship Id="rId12" Type="http://schemas.openxmlformats.org/officeDocument/2006/relationships/hyperlink" Target="https://de.aliexpress.com/item/560947729.html?spm=a2g0o.order_list.order_list_main.326.287b5c5ff2wfhR&amp;gatewayAdapt=glo2deu" TargetMode="External"/><Relationship Id="rId17" Type="http://schemas.openxmlformats.org/officeDocument/2006/relationships/hyperlink" Target="https://de.aliexpress.com/item/1005007486025295.html?spm=a2g0o.order_list.order_list_main.111.287b5c5ff2wfhR&amp;gatewayAdapt=glo2deu" TargetMode="External"/><Relationship Id="rId25" Type="http://schemas.openxmlformats.org/officeDocument/2006/relationships/hyperlink" Target="https://de.aliexpress.com/item/1005007574092279.html?spm=a2g0o.order_detail.order_detail_item.3.15f3f19c2gWkl2&amp;gatewayAdapt=glo2deu" TargetMode="External"/><Relationship Id="rId2" Type="http://schemas.openxmlformats.org/officeDocument/2006/relationships/hyperlink" Target="https://www.omc-stepperonline.com/e-series-nema-17-bipolar-60ncm-84-97oz-in-2-1a-42x42x60mm-4-wires-w-1m-cable-connector-17he24-2104s1" TargetMode="External"/><Relationship Id="rId16" Type="http://schemas.openxmlformats.org/officeDocument/2006/relationships/hyperlink" Target="https://de.aliexpress.com/item/1005007486025295.html?spm=a2g0o.order_list.order_list_main.111.287b5c5ff2wfhR&amp;gatewayAdapt=glo2deu" TargetMode="External"/><Relationship Id="rId20" Type="http://schemas.openxmlformats.org/officeDocument/2006/relationships/hyperlink" Target="https://de.aliexpress.com/item/1005006454716533.html?spm=a2g0o.order_list.order_list_main.236.287b5c5ff2wfhR&amp;gatewayAdapt=glo2deu" TargetMode="External"/><Relationship Id="rId1" Type="http://schemas.openxmlformats.org/officeDocument/2006/relationships/hyperlink" Target="https://www.omc-stepperonline.com/e-series-nema-17-bipolar-1-8deg-17ncm-24-07oz-in-1a-42x42x23mm-4-wires-17he08-1004s" TargetMode="External"/><Relationship Id="rId6" Type="http://schemas.openxmlformats.org/officeDocument/2006/relationships/hyperlink" Target="https://de.aliexpress.com/item/1005004916376607.html?spm=a2g0o.order_list.order_list_main.186.287b5c5ff2wfhR&amp;gatewayAdapt=glo2deu" TargetMode="External"/><Relationship Id="rId11" Type="http://schemas.openxmlformats.org/officeDocument/2006/relationships/hyperlink" Target="https://de.aliexpress.com/item/4000208248034.html?spm=a2g0o.order_list.order_list_main.286.287b5c5ff2wfhR&amp;gatewayAdapt=glo2deu" TargetMode="External"/><Relationship Id="rId24" Type="http://schemas.openxmlformats.org/officeDocument/2006/relationships/hyperlink" Target="https://de.aliexpress.com/item/1005007574092279.html?spm=a2g0o.order_detail.order_detail_item.3.15f3f19c2gWkl2&amp;gatewayAdapt=glo2deu" TargetMode="External"/><Relationship Id="rId5" Type="http://schemas.openxmlformats.org/officeDocument/2006/relationships/hyperlink" Target="https://www.omc-stepperonline.com/eg-series-planetary-gearbox-gear-ratio-20-1-backlash-20-arc-min-for-nema-17-stepper-motor-eg17-g20" TargetMode="External"/><Relationship Id="rId15" Type="http://schemas.openxmlformats.org/officeDocument/2006/relationships/hyperlink" Target="https://de.aliexpress.com/item/1005004916376607.html?spm=a2g0o.order_list.order_list_main.186.287b5c5ff2wfhR&amp;gatewayAdapt=glo2deu" TargetMode="External"/><Relationship Id="rId23" Type="http://schemas.openxmlformats.org/officeDocument/2006/relationships/hyperlink" Target="https://de.aliexpress.com/item/1005007599104994.html?spm=a2g0o.order_list.order_list_main.246.287b5c5ff2wfhR&amp;gatewayAdapt=glo2deu" TargetMode="External"/><Relationship Id="rId10" Type="http://schemas.openxmlformats.org/officeDocument/2006/relationships/hyperlink" Target="https://de.aliexpress.com/item/4000208248034.html?spm=a2g0o.order_list.order_list_main.286.287b5c5ff2wfhR&amp;gatewayAdapt=glo2deu" TargetMode="External"/><Relationship Id="rId19" Type="http://schemas.openxmlformats.org/officeDocument/2006/relationships/hyperlink" Target="https://de.aliexpress.com/item/1005007486025295.html?spm=a2g0o.order_list.order_list_main.111.287b5c5ff2wfhR&amp;gatewayAdapt=glo2deu" TargetMode="External"/><Relationship Id="rId4" Type="http://schemas.openxmlformats.org/officeDocument/2006/relationships/hyperlink" Target="https://www.omc-stepperonline.com/eg-series-planetary-gearbox-gear-ratio-10-1-backlash-15-arc-min-for-nema-17-stepper-motor-eg17-g10" TargetMode="External"/><Relationship Id="rId9" Type="http://schemas.openxmlformats.org/officeDocument/2006/relationships/hyperlink" Target="https://de.aliexpress.com/item/1005002844903085.html?spm=a2g0o.order_list.order_list_main.231.287b5c5ff2wfhR&amp;gatewayAdapt=glo2deu" TargetMode="External"/><Relationship Id="rId14" Type="http://schemas.openxmlformats.org/officeDocument/2006/relationships/hyperlink" Target="https://de.aliexpress.com/item/1005004916376607.html?spm=a2g0o.order_list.order_list_main.186.287b5c5ff2wfhR&amp;gatewayAdapt=glo2deu" TargetMode="External"/><Relationship Id="rId22" Type="http://schemas.openxmlformats.org/officeDocument/2006/relationships/hyperlink" Target="https://de.aliexpress.com/item/1005007599104994.html?spm=a2g0o.order_list.order_list_main.246.287b5c5ff2wfhR&amp;gatewayAdapt=glo2deu" TargetMode="External"/><Relationship Id="rId27" Type="http://schemas.openxmlformats.org/officeDocument/2006/relationships/hyperlink" Target="https://www.kugellager-express.de/miniatur-kugellager-623-zz-3x10x4-m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2"/>
  <sheetViews>
    <sheetView tabSelected="1" topLeftCell="A2" workbookViewId="0">
      <selection activeCell="B27" sqref="B27"/>
    </sheetView>
  </sheetViews>
  <sheetFormatPr defaultRowHeight="15" x14ac:dyDescent="0.25"/>
  <cols>
    <col min="1" max="1" width="32.7109375" customWidth="1"/>
    <col min="2" max="2" width="35.5703125" customWidth="1"/>
    <col min="4" max="4" width="87.140625" customWidth="1"/>
    <col min="5" max="5" width="24.5703125" customWidth="1"/>
    <col min="6" max="6" width="10.85546875" customWidth="1"/>
    <col min="7" max="7" width="13.28515625" customWidth="1"/>
    <col min="8" max="8" width="16.28515625" customWidth="1"/>
    <col min="10" max="10" width="43.7109375" customWidth="1"/>
    <col min="11" max="11" width="11.42578125" customWidth="1"/>
  </cols>
  <sheetData>
    <row r="1" spans="1:1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46</v>
      </c>
    </row>
    <row r="2" spans="1:13" x14ac:dyDescent="0.25">
      <c r="A2" t="s">
        <v>11</v>
      </c>
      <c r="B2" t="s">
        <v>8</v>
      </c>
      <c r="C2">
        <v>1</v>
      </c>
      <c r="D2" t="s">
        <v>9</v>
      </c>
      <c r="E2" s="2" t="s">
        <v>10</v>
      </c>
      <c r="F2" s="6">
        <v>4.34</v>
      </c>
      <c r="G2" s="6">
        <f>F2*C2</f>
        <v>4.34</v>
      </c>
      <c r="H2" s="11">
        <f ca="1">G2*$K$2</f>
        <v>4.1928739999999998</v>
      </c>
      <c r="J2" t="e" vm="1">
        <v>#VALUE!</v>
      </c>
      <c r="K2" s="4" cm="1">
        <f t="array" aca="1" ref="K2" ca="1">_FV(J2,"52 week high",TRUE)</f>
        <v>0.96609999999999996</v>
      </c>
      <c r="L2" s="8"/>
      <c r="M2" s="8"/>
    </row>
    <row r="3" spans="1:13" x14ac:dyDescent="0.25">
      <c r="A3" t="s">
        <v>13</v>
      </c>
      <c r="B3" t="s">
        <v>18</v>
      </c>
      <c r="C3">
        <v>3</v>
      </c>
      <c r="D3" t="s">
        <v>17</v>
      </c>
      <c r="E3" s="2" t="s">
        <v>10</v>
      </c>
      <c r="F3" s="6">
        <v>6.23</v>
      </c>
      <c r="G3" s="6">
        <f t="shared" ref="G3:G39" si="0">F3*C3</f>
        <v>18.690000000000001</v>
      </c>
      <c r="H3" s="11">
        <f ca="1">G3*$K$2</f>
        <v>18.056409000000002</v>
      </c>
      <c r="J3" t="e" vm="2">
        <v>#VALUE!</v>
      </c>
      <c r="K3" s="4" cm="1">
        <f t="array" aca="1" ref="K3" ca="1">_FV(J3,"52 week high",TRUE)</f>
        <v>0.92</v>
      </c>
      <c r="L3" s="9"/>
    </row>
    <row r="4" spans="1:13" ht="15" customHeight="1" x14ac:dyDescent="0.25">
      <c r="A4" t="s">
        <v>14</v>
      </c>
      <c r="B4" t="s">
        <v>15</v>
      </c>
      <c r="C4">
        <v>2</v>
      </c>
      <c r="D4" t="s">
        <v>16</v>
      </c>
      <c r="E4" s="2" t="s">
        <v>10</v>
      </c>
      <c r="F4" s="6">
        <v>8.7899999999999991</v>
      </c>
      <c r="G4" s="6">
        <f t="shared" si="0"/>
        <v>17.579999999999998</v>
      </c>
      <c r="H4" s="11">
        <f ca="1">G4*$K$2</f>
        <v>16.984037999999998</v>
      </c>
      <c r="K4" s="5"/>
      <c r="L4" s="10"/>
    </row>
    <row r="5" spans="1:13" x14ac:dyDescent="0.25">
      <c r="A5" t="s">
        <v>12</v>
      </c>
      <c r="B5" t="s">
        <v>20</v>
      </c>
      <c r="C5">
        <v>1</v>
      </c>
      <c r="D5" t="s">
        <v>21</v>
      </c>
      <c r="E5" s="2" t="s">
        <v>10</v>
      </c>
      <c r="F5" s="6">
        <v>23.6</v>
      </c>
      <c r="G5" s="6">
        <f t="shared" si="0"/>
        <v>23.6</v>
      </c>
      <c r="H5" s="11">
        <f ca="1">G5*$K$2</f>
        <v>22.799959999999999</v>
      </c>
      <c r="K5" s="4"/>
    </row>
    <row r="6" spans="1:13" x14ac:dyDescent="0.25">
      <c r="A6" t="s">
        <v>7</v>
      </c>
      <c r="B6" t="s">
        <v>19</v>
      </c>
      <c r="C6">
        <v>2</v>
      </c>
      <c r="D6" t="s">
        <v>22</v>
      </c>
      <c r="E6" s="2" t="s">
        <v>10</v>
      </c>
      <c r="F6" s="6">
        <v>29.32</v>
      </c>
      <c r="G6" s="6">
        <f t="shared" si="0"/>
        <v>58.64</v>
      </c>
      <c r="H6" s="11">
        <f ca="1">G6*$K$2</f>
        <v>56.652104000000001</v>
      </c>
    </row>
    <row r="7" spans="1:13" x14ac:dyDescent="0.25">
      <c r="A7" t="s">
        <v>23</v>
      </c>
      <c r="B7" t="s">
        <v>25</v>
      </c>
      <c r="C7">
        <v>1</v>
      </c>
      <c r="D7" s="2" t="s">
        <v>24</v>
      </c>
      <c r="E7" s="2" t="s">
        <v>24</v>
      </c>
      <c r="F7" s="7">
        <v>4.3600000000000003</v>
      </c>
      <c r="G7" s="7">
        <f t="shared" si="0"/>
        <v>4.3600000000000003</v>
      </c>
      <c r="H7" s="11">
        <f>G7</f>
        <v>4.3600000000000003</v>
      </c>
    </row>
    <row r="8" spans="1:13" x14ac:dyDescent="0.25">
      <c r="A8" t="s">
        <v>27</v>
      </c>
      <c r="B8" t="s">
        <v>26</v>
      </c>
      <c r="C8">
        <v>1</v>
      </c>
      <c r="D8" s="2" t="s">
        <v>24</v>
      </c>
      <c r="E8" s="2" t="s">
        <v>24</v>
      </c>
      <c r="F8" s="7">
        <v>4.0199999999999996</v>
      </c>
      <c r="G8" s="7">
        <f t="shared" si="0"/>
        <v>4.0199999999999996</v>
      </c>
      <c r="H8" s="11">
        <f t="shared" ref="H8:H16" si="1">G8</f>
        <v>4.0199999999999996</v>
      </c>
    </row>
    <row r="9" spans="1:13" x14ac:dyDescent="0.25">
      <c r="B9" t="s">
        <v>28</v>
      </c>
      <c r="C9">
        <v>1</v>
      </c>
      <c r="D9" s="2" t="s">
        <v>24</v>
      </c>
      <c r="E9" s="2" t="s">
        <v>24</v>
      </c>
      <c r="F9" s="7">
        <v>1.46</v>
      </c>
      <c r="G9" s="7">
        <f t="shared" si="0"/>
        <v>1.46</v>
      </c>
      <c r="H9" s="11">
        <f t="shared" si="1"/>
        <v>1.46</v>
      </c>
    </row>
    <row r="10" spans="1:13" x14ac:dyDescent="0.25">
      <c r="A10" t="s">
        <v>30</v>
      </c>
      <c r="B10" t="s">
        <v>29</v>
      </c>
      <c r="C10">
        <v>1</v>
      </c>
      <c r="D10" s="2" t="s">
        <v>24</v>
      </c>
      <c r="E10" s="2" t="s">
        <v>24</v>
      </c>
      <c r="F10" s="7">
        <v>4.84</v>
      </c>
      <c r="G10" s="7">
        <f t="shared" si="0"/>
        <v>4.84</v>
      </c>
      <c r="H10" s="11">
        <f t="shared" si="1"/>
        <v>4.84</v>
      </c>
    </row>
    <row r="11" spans="1:13" x14ac:dyDescent="0.25">
      <c r="A11" t="s">
        <v>31</v>
      </c>
      <c r="B11" t="s">
        <v>32</v>
      </c>
      <c r="C11">
        <v>2</v>
      </c>
      <c r="D11" s="2" t="s">
        <v>24</v>
      </c>
      <c r="E11" s="2" t="s">
        <v>24</v>
      </c>
      <c r="F11" s="7">
        <v>4.99</v>
      </c>
      <c r="G11" s="7">
        <f t="shared" si="0"/>
        <v>9.98</v>
      </c>
      <c r="H11" s="11">
        <f t="shared" si="1"/>
        <v>9.98</v>
      </c>
    </row>
    <row r="12" spans="1:13" x14ac:dyDescent="0.25">
      <c r="B12" t="s">
        <v>33</v>
      </c>
      <c r="C12">
        <v>1</v>
      </c>
      <c r="D12" s="2" t="s">
        <v>24</v>
      </c>
      <c r="E12" s="2" t="s">
        <v>24</v>
      </c>
      <c r="F12" s="7">
        <v>3.59</v>
      </c>
      <c r="G12" s="7">
        <f t="shared" si="0"/>
        <v>3.59</v>
      </c>
      <c r="H12" s="11">
        <f t="shared" si="1"/>
        <v>3.59</v>
      </c>
    </row>
    <row r="13" spans="1:13" x14ac:dyDescent="0.25">
      <c r="B13" t="s">
        <v>34</v>
      </c>
      <c r="C13">
        <v>1</v>
      </c>
      <c r="D13" s="2" t="s">
        <v>24</v>
      </c>
      <c r="E13" s="2" t="s">
        <v>24</v>
      </c>
      <c r="F13" s="7">
        <v>5.45</v>
      </c>
      <c r="G13" s="7">
        <f t="shared" si="0"/>
        <v>5.45</v>
      </c>
      <c r="H13" s="11">
        <f t="shared" si="1"/>
        <v>5.45</v>
      </c>
    </row>
    <row r="14" spans="1:13" x14ac:dyDescent="0.25">
      <c r="A14" t="s">
        <v>37</v>
      </c>
      <c r="B14" t="s">
        <v>36</v>
      </c>
      <c r="C14">
        <v>1</v>
      </c>
      <c r="D14" s="2" t="s">
        <v>24</v>
      </c>
      <c r="E14" s="2" t="s">
        <v>24</v>
      </c>
      <c r="F14" s="7">
        <v>3.11</v>
      </c>
      <c r="G14" s="7">
        <f t="shared" si="0"/>
        <v>3.11</v>
      </c>
      <c r="H14" s="11">
        <f t="shared" si="1"/>
        <v>3.11</v>
      </c>
    </row>
    <row r="15" spans="1:13" x14ac:dyDescent="0.25">
      <c r="A15" t="s">
        <v>35</v>
      </c>
      <c r="B15" t="s">
        <v>38</v>
      </c>
      <c r="C15">
        <v>1</v>
      </c>
      <c r="D15" s="2" t="s">
        <v>24</v>
      </c>
      <c r="E15" s="2" t="s">
        <v>24</v>
      </c>
      <c r="F15" s="7">
        <v>7.99</v>
      </c>
      <c r="G15" s="7">
        <f t="shared" si="0"/>
        <v>7.99</v>
      </c>
      <c r="H15" s="11">
        <f t="shared" si="1"/>
        <v>7.99</v>
      </c>
    </row>
    <row r="16" spans="1:13" x14ac:dyDescent="0.25">
      <c r="A16" t="s">
        <v>39</v>
      </c>
      <c r="B16" t="s">
        <v>40</v>
      </c>
      <c r="C16">
        <v>1</v>
      </c>
      <c r="D16" s="2" t="s">
        <v>24</v>
      </c>
      <c r="E16" s="2" t="s">
        <v>24</v>
      </c>
      <c r="F16" s="7">
        <v>3.91</v>
      </c>
      <c r="G16" s="7">
        <f>F16*C16</f>
        <v>3.91</v>
      </c>
      <c r="H16" s="11">
        <f t="shared" si="1"/>
        <v>3.91</v>
      </c>
    </row>
    <row r="17" spans="1:8" x14ac:dyDescent="0.25">
      <c r="A17" t="s">
        <v>47</v>
      </c>
      <c r="B17" t="s">
        <v>45</v>
      </c>
      <c r="C17">
        <v>4</v>
      </c>
      <c r="D17" t="s">
        <v>41</v>
      </c>
      <c r="E17" s="2" t="s">
        <v>43</v>
      </c>
      <c r="F17" s="6">
        <v>0.74</v>
      </c>
      <c r="G17" s="6">
        <f>F17*C17</f>
        <v>2.96</v>
      </c>
      <c r="H17" s="11">
        <f ca="1">G17*$K$2</f>
        <v>2.8596559999999998</v>
      </c>
    </row>
    <row r="18" spans="1:8" x14ac:dyDescent="0.25">
      <c r="A18" t="s">
        <v>48</v>
      </c>
      <c r="B18" t="s">
        <v>44</v>
      </c>
      <c r="C18">
        <v>4</v>
      </c>
      <c r="D18" t="s">
        <v>42</v>
      </c>
      <c r="E18" s="2" t="s">
        <v>43</v>
      </c>
      <c r="F18" s="6">
        <v>7.33</v>
      </c>
      <c r="G18" s="6">
        <f t="shared" si="0"/>
        <v>29.32</v>
      </c>
      <c r="H18" s="11">
        <f ca="1">G18*$K$2</f>
        <v>28.326052000000001</v>
      </c>
    </row>
    <row r="19" spans="1:8" x14ac:dyDescent="0.25">
      <c r="A19" t="s">
        <v>49</v>
      </c>
      <c r="C19">
        <v>2</v>
      </c>
      <c r="D19" t="s">
        <v>51</v>
      </c>
      <c r="F19" s="4">
        <v>5</v>
      </c>
      <c r="G19" s="4">
        <f t="shared" si="0"/>
        <v>10</v>
      </c>
      <c r="H19" s="11">
        <f>G19</f>
        <v>10</v>
      </c>
    </row>
    <row r="20" spans="1:8" x14ac:dyDescent="0.25">
      <c r="A20" t="s">
        <v>50</v>
      </c>
      <c r="C20">
        <v>2</v>
      </c>
      <c r="D20" t="s">
        <v>52</v>
      </c>
      <c r="F20" s="4">
        <v>7</v>
      </c>
      <c r="G20" s="4">
        <f t="shared" si="0"/>
        <v>14</v>
      </c>
      <c r="H20" s="11">
        <f>G20</f>
        <v>14</v>
      </c>
    </row>
    <row r="21" spans="1:8" x14ac:dyDescent="0.25">
      <c r="F21" s="4"/>
      <c r="G21" s="4">
        <f t="shared" si="0"/>
        <v>0</v>
      </c>
    </row>
    <row r="22" spans="1:8" x14ac:dyDescent="0.25">
      <c r="F22" s="4"/>
      <c r="G22" s="4">
        <f t="shared" si="0"/>
        <v>0</v>
      </c>
    </row>
    <row r="23" spans="1:8" x14ac:dyDescent="0.25">
      <c r="F23" s="4"/>
      <c r="G23" s="4">
        <f t="shared" si="0"/>
        <v>0</v>
      </c>
    </row>
    <row r="24" spans="1:8" x14ac:dyDescent="0.25">
      <c r="F24" s="4"/>
      <c r="G24" s="4">
        <f t="shared" si="0"/>
        <v>0</v>
      </c>
    </row>
    <row r="25" spans="1:8" x14ac:dyDescent="0.25">
      <c r="F25" s="4"/>
      <c r="G25" s="4">
        <f t="shared" si="0"/>
        <v>0</v>
      </c>
    </row>
    <row r="26" spans="1:8" x14ac:dyDescent="0.25">
      <c r="F26" s="4"/>
      <c r="G26" s="4">
        <f t="shared" si="0"/>
        <v>0</v>
      </c>
    </row>
    <row r="27" spans="1:8" x14ac:dyDescent="0.25">
      <c r="F27" s="4"/>
      <c r="G27" s="4">
        <f t="shared" si="0"/>
        <v>0</v>
      </c>
    </row>
    <row r="28" spans="1:8" x14ac:dyDescent="0.25">
      <c r="F28" s="4"/>
      <c r="G28" s="4">
        <f t="shared" si="0"/>
        <v>0</v>
      </c>
    </row>
    <row r="29" spans="1:8" x14ac:dyDescent="0.25">
      <c r="F29" s="4"/>
      <c r="G29" s="4">
        <f t="shared" si="0"/>
        <v>0</v>
      </c>
    </row>
    <row r="30" spans="1:8" x14ac:dyDescent="0.25">
      <c r="F30" s="4"/>
      <c r="G30" s="4">
        <f t="shared" si="0"/>
        <v>0</v>
      </c>
    </row>
    <row r="31" spans="1:8" x14ac:dyDescent="0.25">
      <c r="F31" s="4"/>
      <c r="G31" s="4">
        <f t="shared" si="0"/>
        <v>0</v>
      </c>
    </row>
    <row r="32" spans="1:8" x14ac:dyDescent="0.25">
      <c r="F32" s="4"/>
      <c r="G32" s="4">
        <f t="shared" si="0"/>
        <v>0</v>
      </c>
    </row>
    <row r="33" spans="6:8" x14ac:dyDescent="0.25">
      <c r="F33" s="4"/>
      <c r="G33" s="4">
        <f t="shared" si="0"/>
        <v>0</v>
      </c>
    </row>
    <row r="34" spans="6:8" x14ac:dyDescent="0.25">
      <c r="F34" s="4"/>
      <c r="G34" s="4">
        <f t="shared" si="0"/>
        <v>0</v>
      </c>
    </row>
    <row r="35" spans="6:8" x14ac:dyDescent="0.25">
      <c r="F35" s="4"/>
      <c r="G35" s="4">
        <f t="shared" si="0"/>
        <v>0</v>
      </c>
    </row>
    <row r="36" spans="6:8" x14ac:dyDescent="0.25">
      <c r="F36" s="4"/>
      <c r="G36" s="4">
        <f t="shared" si="0"/>
        <v>0</v>
      </c>
    </row>
    <row r="37" spans="6:8" x14ac:dyDescent="0.25">
      <c r="F37" s="4"/>
      <c r="G37" s="4">
        <f t="shared" si="0"/>
        <v>0</v>
      </c>
    </row>
    <row r="38" spans="6:8" x14ac:dyDescent="0.25">
      <c r="F38" s="4"/>
      <c r="G38" s="4">
        <f t="shared" si="0"/>
        <v>0</v>
      </c>
    </row>
    <row r="39" spans="6:8" x14ac:dyDescent="0.25">
      <c r="F39" s="4"/>
      <c r="G39" s="4">
        <f t="shared" si="0"/>
        <v>0</v>
      </c>
    </row>
    <row r="41" spans="6:8" x14ac:dyDescent="0.25">
      <c r="G41" s="6"/>
      <c r="H41" s="11">
        <f ca="1">SUM(H2:H39)</f>
        <v>222.58109300000001</v>
      </c>
    </row>
    <row r="42" spans="6:8" x14ac:dyDescent="0.25">
      <c r="G42" s="3"/>
    </row>
  </sheetData>
  <phoneticPr fontId="4" type="noConversion"/>
  <hyperlinks>
    <hyperlink ref="E2" r:id="rId1" xr:uid="{47FE660F-EA8F-4351-90B9-F3A3DDB7BFDF}"/>
    <hyperlink ref="E4" r:id="rId2" xr:uid="{ED4EEA21-D21B-4562-9408-9523482AE6DF}"/>
    <hyperlink ref="E3" r:id="rId3" xr:uid="{CCE2BCB9-E973-4BA3-9865-A79BD59EC226}"/>
    <hyperlink ref="E5" r:id="rId4" xr:uid="{716346B7-BFD0-485F-ADBF-7555435A1A7C}"/>
    <hyperlink ref="E6" r:id="rId5" xr:uid="{1DD6677C-DE9B-4877-87AC-D8F6DDA12C59}"/>
    <hyperlink ref="D7" r:id="rId6" location=":~:text=Arc%20HTD%203M%20Zahnriemen%20C%3D366%20369%20375%20378%20381%20384%20390%20393%20396%20399%20Breite%206/9/10/12/15/20%20mm%20Gummi%20geschlossener%20Regelkreis%20Synchronabstand%203%20mm" xr:uid="{EDC27717-ADF7-4005-B925-12899BED6610}"/>
    <hyperlink ref="E7" r:id="rId7" xr:uid="{7CB9A25A-CA63-4C50-8C6D-27EDBBF87EEB}"/>
    <hyperlink ref="D8" r:id="rId8" location=":~:text=10%20St%C3%BCck%20Mikroschalter%2010%20mm%20x%2020%20mm%20Endschalter%203%20Pin/2%20Pin%205A%20250VAC%20ZW12%20Serie%20Taktschalter%20Ein%20Aus" xr:uid="{2C79D329-5769-4C5C-9E6C-B10BD43BC8DB}"/>
    <hyperlink ref="E8" r:id="rId9" xr:uid="{81114719-773A-4473-A8C1-F49738978630}"/>
    <hyperlink ref="D9" r:id="rId10" location=":~:text=2mm/3mm/3%2C17mm/4mm/5mm/6mm/6%2C35mm/7mm/8mm/10mm/11mm/12mm/14mm%20Starre%20Flansch%20Kupplung%20Motor%20Guide%20Welle%20Koppler%20Unterst%C3%BCtzung%20Stecker" xr:uid="{FEA3BDC8-5980-4A46-A3EB-9AE8EB7BE9E4}"/>
    <hyperlink ref="E9" r:id="rId11" xr:uid="{C17D2631-6334-403C-966F-2BC32CE1B050}"/>
    <hyperlink ref="D10" r:id="rId12" location=":~:text=623ZZ%20Lager%20ABEC%2D5%2010%20St%C3%BCck%203x10x4%20mm%20Miniatur%20623%2D2Z%20Kugellager%20623%20ZZ%20EMQ%20Z3V3%20Qualit%C3%A4t" xr:uid="{8D86D5F9-B3D4-4018-9A93-CE56B99CE277}"/>
    <hyperlink ref="E10" r:id="rId13" xr:uid="{F42F26E4-1F70-4C62-AF7E-1577F8439511}"/>
    <hyperlink ref="D11" r:id="rId14" location=":~:text=Arc%20HTD%203M%20Zahnriemen%20C%3D366%20369%20375%20378%20381%20384%20390%20393%20396%20399%20Breite%206/9/10/12/15/20%20mm%20Gummi%20geschlossener%20Regelkreis%20Synchronabstand%203%20mm" xr:uid="{2865A71E-248A-4F60-914C-2AB2CDBFB27F}"/>
    <hyperlink ref="E11" r:id="rId15" xr:uid="{F7782746-E39D-485A-839F-98D948C6B0BC}"/>
    <hyperlink ref="D12" r:id="rId16" location=":~:text=1/5/10%20m%20schwarzer%20isolierter%20Geflechtschlauch%2C%206/8/10/30%20mm%2C%20enger%20PET%2DDraht%2C%20Kabelverschraubung%2C%20Schutz%2C%20Kabelh%C3%BClse%2C%20flammhemmender%20Nylonschlauch" xr:uid="{362D999C-60F6-47FF-8181-2E68116BE3AF}"/>
    <hyperlink ref="E12" r:id="rId17" xr:uid="{71109D89-B941-4F7B-ADA7-EB70591CC80C}"/>
    <hyperlink ref="D13" r:id="rId18" location=":~:text=1/5/10%20m%20schwarzer%20isolierter%20Geflechtschlauch%2C%206/8/10/30%20mm%2C%20enger%20PET%2DDraht%2C%20Kabelverschraubung%2C%20Schutz%2C%20Kabelh%C3%BClse%2C%20flammhemmender%20Nylonschlauch" xr:uid="{FE9E55C6-5D2B-402A-BC87-22A1443870DE}"/>
    <hyperlink ref="E13" r:id="rId19" xr:uid="{3B1565D9-8E3F-4D5C-B81E-A3654660D4D6}"/>
    <hyperlink ref="E14" r:id="rId20" xr:uid="{0954D009-6F65-4E67-9618-C06C42B56F64}"/>
    <hyperlink ref="D14" r:id="rId21" location=":~:text=HTD%203M%2015/16/18/20/24Teeth%20K%2DType%20Timing%20Pulley%20Bore4/5/6/6.35/7/8/10/12/14mm%20Belt%20Width10/15/25mm%20Synchronous%20Wheel%20Belt%20Pulley" xr:uid="{390D40C5-0D45-4737-87C9-BCB34114DA94}"/>
    <hyperlink ref="E15" r:id="rId22" xr:uid="{7CDA89C7-DD6F-49E5-8944-B90619DF2D05}"/>
    <hyperlink ref="D15" r:id="rId23" location=":~:text=20%20Teeth%20HTD%203M%20Timing%20Pulley%20Bore%204/5/6/6.35/7/8/10/12/12.7/14mm%20For%20Belt%20Width%206/10/15mm%203M%20Synchronous%20Wheel%2020Teeth%2020T%20Gear" xr:uid="{306C042D-9136-4B67-9639-88304DB20695}"/>
    <hyperlink ref="E16" r:id="rId24" xr:uid="{F6CE6E5B-9DB1-4B38-BF52-58415FDF0F81}"/>
    <hyperlink ref="D16" r:id="rId25" location=":~:text=HTD%203M%20Timing%20Belt%20Length%20195%20198%20201%20204%20207%20210%20213%20216%20219%20222%20225%20228mm%20Width%206/9/10/15/20mm%20Sweeper%20Washing%20Machine%20Belt" xr:uid="{65730574-35A6-47A4-80D0-98574CDCB02D}"/>
    <hyperlink ref="E17" r:id="rId26" xr:uid="{A9C49BA1-FCAB-4558-9E77-E6639A691ADF}"/>
    <hyperlink ref="E18" r:id="rId27" xr:uid="{533647E5-B1F9-4EC6-8CD1-0E67CD0060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>Vladimir Morozov</cp:lastModifiedBy>
  <dcterms:created xsi:type="dcterms:W3CDTF">2015-06-05T18:19:34Z</dcterms:created>
  <dcterms:modified xsi:type="dcterms:W3CDTF">2025-12-18T18:24:24Z</dcterms:modified>
</cp:coreProperties>
</file>
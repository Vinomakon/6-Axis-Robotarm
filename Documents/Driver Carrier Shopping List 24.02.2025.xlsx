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vovmo\Documents\Bäumlihof 3A\Maturaarbeit\Documents\"/>
    </mc:Choice>
  </mc:AlternateContent>
  <xr:revisionPtr revIDLastSave="0" documentId="13_ncr:1_{646039E0-FE4F-4605-9D99-2EB11E756410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H2" i="1" l="1"/>
  <c r="I2" i="1" s="1"/>
</calcChain>
</file>

<file path=xl/sharedStrings.xml><?xml version="1.0" encoding="utf-8"?>
<sst xmlns="http://schemas.openxmlformats.org/spreadsheetml/2006/main" count="35" uniqueCount="26">
  <si>
    <t>Part</t>
  </si>
  <si>
    <t>Amount</t>
  </si>
  <si>
    <t>Part-number</t>
  </si>
  <si>
    <t>Price pP</t>
  </si>
  <si>
    <t>Price Total</t>
  </si>
  <si>
    <t>Total Price</t>
  </si>
  <si>
    <t>Total Price with VAT</t>
  </si>
  <si>
    <t>Link</t>
  </si>
  <si>
    <t>CANbus Transceiver</t>
  </si>
  <si>
    <t>digikey.ch</t>
  </si>
  <si>
    <t>TMC5160</t>
  </si>
  <si>
    <t>TMC5160SILENTSTEPSTICK</t>
  </si>
  <si>
    <t>EEU-FM1H101</t>
  </si>
  <si>
    <t>100uF 50V Capacitor</t>
  </si>
  <si>
    <t>ESP32-S3-DEVKITC-1-N32R8V</t>
  </si>
  <si>
    <t>ESP32 S3 DevKitC</t>
  </si>
  <si>
    <t>Terminal Block 1x02</t>
  </si>
  <si>
    <t>PPTC081LFBN-RC</t>
  </si>
  <si>
    <t>M20-9990245</t>
  </si>
  <si>
    <t>G800W304018EU</t>
  </si>
  <si>
    <t>Male Pin Header 1x03</t>
  </si>
  <si>
    <t>Female Socket Header 1x08</t>
  </si>
  <si>
    <t>Male Pin Header 1x02</t>
  </si>
  <si>
    <t>Male Pin Header 1x04</t>
  </si>
  <si>
    <t>Female Pin Header 1x22</t>
  </si>
  <si>
    <t>PPPC221LFBN-RC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</si>
</sst>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h/en/products/detail/sullins-connector-solutions/PPTC081LFBN-RC/810147" TargetMode="External"/><Relationship Id="rId3" Type="http://schemas.openxmlformats.org/officeDocument/2006/relationships/hyperlink" Target="https://www.digikey.ch/en/products/detail/panasonic-electronic-components/EEU-FM1H101/613753?s=N4IgTCBcDaIAoEYwGYCcYC0A5AIiAugL5A" TargetMode="External"/><Relationship Id="rId7" Type="http://schemas.openxmlformats.org/officeDocument/2006/relationships/hyperlink" Target="https://www.digikey.ch/en/products/detail/harwin-inc/M20-9990245/3728225" TargetMode="External"/><Relationship Id="rId2" Type="http://schemas.openxmlformats.org/officeDocument/2006/relationships/hyperlink" Target="https://www.digikey.ch/de/products/detail/panasonic-electronic-components/EEU-FM1H101/613753?s=N4IgTCBcDaIAoEYwGYCcYC0A5AIiAugL5A" TargetMode="External"/><Relationship Id="rId1" Type="http://schemas.openxmlformats.org/officeDocument/2006/relationships/hyperlink" Target="https://www.digikey.ch/en/products/detail/adafruit-industries-llc/5708/18716420" TargetMode="External"/><Relationship Id="rId6" Type="http://schemas.openxmlformats.org/officeDocument/2006/relationships/hyperlink" Target="https://www.digikey.ch/en/products/detail/amphenol-cs-commercial-products/G800W304018EU/13682993?s=N4IgTCBcDaIOIA4AMSDqBmJAWJBGBAogKogC6AvkA" TargetMode="External"/><Relationship Id="rId5" Type="http://schemas.openxmlformats.org/officeDocument/2006/relationships/hyperlink" Target="https://www.digikey.ch/en/products/detail/phoenix-contact/1984617/950849?s=N4IgTCBcDaIIwE4AcAWAbHA7CAugXyA" TargetMode="External"/><Relationship Id="rId10" Type="http://schemas.openxmlformats.org/officeDocument/2006/relationships/hyperlink" Target="https://www.digikey.ch/en/products/detail/sullins-connector-solutions/PPPC221LFBN-RC/810194" TargetMode="External"/><Relationship Id="rId4" Type="http://schemas.openxmlformats.org/officeDocument/2006/relationships/hyperlink" Target="https://www.digikey.ch/en/products/detail/espressif-systems/ESP32-S3-DEVKITC-1-N32R8V/15970965" TargetMode="External"/><Relationship Id="rId9" Type="http://schemas.openxmlformats.org/officeDocument/2006/relationships/hyperlink" Target="https://www.digikey.ch/en/products/detail/w&#252;rth-elektronik/61300311121/48468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C19" sqref="C19"/>
    </sheetView>
  </sheetViews>
  <sheetFormatPr defaultRowHeight="14.4" x14ac:dyDescent="0.3"/>
  <cols>
    <col min="1" max="1" width="25.88671875" customWidth="1"/>
    <col min="2" max="2" width="25.33203125" customWidth="1"/>
    <col min="3" max="3" width="14.5546875" customWidth="1"/>
    <col min="4" max="4" width="10.44140625" customWidth="1"/>
    <col min="5" max="5" width="13.109375" customWidth="1"/>
    <col min="6" max="6" width="11.109375" customWidth="1"/>
    <col min="7" max="7" width="13.21875" customWidth="1"/>
    <col min="8" max="8" width="17.21875" customWidth="1"/>
    <col min="9" max="9" width="18.109375" customWidth="1"/>
  </cols>
  <sheetData>
    <row r="1" spans="1:9" x14ac:dyDescent="0.3">
      <c r="A1" s="1" t="s">
        <v>0</v>
      </c>
      <c r="B1" s="1" t="s">
        <v>2</v>
      </c>
      <c r="C1" s="1" t="s">
        <v>7</v>
      </c>
      <c r="D1" s="1" t="s">
        <v>1</v>
      </c>
      <c r="E1" s="1" t="s">
        <v>3</v>
      </c>
      <c r="F1" s="1" t="s">
        <v>4</v>
      </c>
      <c r="G1" s="1"/>
      <c r="H1" s="1" t="s">
        <v>5</v>
      </c>
      <c r="I1" s="1" t="s">
        <v>6</v>
      </c>
    </row>
    <row r="2" spans="1:9" x14ac:dyDescent="0.3">
      <c r="A2" t="s">
        <v>8</v>
      </c>
      <c r="B2" s="3">
        <v>5708</v>
      </c>
      <c r="C2" s="2" t="s">
        <v>9</v>
      </c>
      <c r="D2">
        <v>2</v>
      </c>
      <c r="E2">
        <v>3.56</v>
      </c>
      <c r="F2">
        <f>D2*E2</f>
        <v>7.12</v>
      </c>
      <c r="H2">
        <f>SUM(F2:F25)</f>
        <v>105.73</v>
      </c>
      <c r="I2">
        <f>H2*1.081</f>
        <v>114.29413</v>
      </c>
    </row>
    <row r="3" spans="1:9" x14ac:dyDescent="0.3">
      <c r="A3" t="s">
        <v>10</v>
      </c>
      <c r="B3" t="s">
        <v>11</v>
      </c>
      <c r="C3" s="2" t="s">
        <v>9</v>
      </c>
      <c r="D3">
        <v>5</v>
      </c>
      <c r="E3">
        <v>11.54</v>
      </c>
      <c r="F3">
        <f t="shared" ref="F3:F25" si="0">D3*E3</f>
        <v>57.699999999999996</v>
      </c>
    </row>
    <row r="4" spans="1:9" x14ac:dyDescent="0.3">
      <c r="A4" t="s">
        <v>13</v>
      </c>
      <c r="B4" t="s">
        <v>12</v>
      </c>
      <c r="C4" s="2" t="s">
        <v>9</v>
      </c>
      <c r="D4">
        <v>20</v>
      </c>
      <c r="E4">
        <v>0.254</v>
      </c>
      <c r="F4">
        <f t="shared" si="0"/>
        <v>5.08</v>
      </c>
    </row>
    <row r="5" spans="1:9" x14ac:dyDescent="0.3">
      <c r="A5" t="s">
        <v>15</v>
      </c>
      <c r="B5" t="s">
        <v>14</v>
      </c>
      <c r="C5" s="2" t="s">
        <v>9</v>
      </c>
      <c r="D5">
        <v>1</v>
      </c>
      <c r="E5">
        <v>15.3</v>
      </c>
      <c r="F5">
        <f t="shared" si="0"/>
        <v>15.3</v>
      </c>
    </row>
    <row r="6" spans="1:9" x14ac:dyDescent="0.3">
      <c r="A6" t="s">
        <v>16</v>
      </c>
      <c r="B6" s="3">
        <v>1984617</v>
      </c>
      <c r="C6" s="2" t="s">
        <v>9</v>
      </c>
      <c r="D6">
        <v>3</v>
      </c>
      <c r="E6">
        <v>0.56000000000000005</v>
      </c>
      <c r="F6">
        <f t="shared" si="0"/>
        <v>1.6800000000000002</v>
      </c>
    </row>
    <row r="7" spans="1:9" x14ac:dyDescent="0.3">
      <c r="A7" t="s">
        <v>23</v>
      </c>
      <c r="B7" t="s">
        <v>19</v>
      </c>
      <c r="C7" s="2" t="s">
        <v>9</v>
      </c>
      <c r="D7">
        <v>20</v>
      </c>
      <c r="E7">
        <v>5.8999999999999997E-2</v>
      </c>
      <c r="F7">
        <f t="shared" si="0"/>
        <v>1.18</v>
      </c>
    </row>
    <row r="8" spans="1:9" x14ac:dyDescent="0.3">
      <c r="A8" t="s">
        <v>22</v>
      </c>
      <c r="B8" t="s">
        <v>18</v>
      </c>
      <c r="C8" s="2" t="s">
        <v>9</v>
      </c>
      <c r="D8">
        <v>5</v>
      </c>
      <c r="E8">
        <v>0.11</v>
      </c>
      <c r="F8">
        <f t="shared" si="0"/>
        <v>0.55000000000000004</v>
      </c>
    </row>
    <row r="9" spans="1:9" x14ac:dyDescent="0.3">
      <c r="A9" t="s">
        <v>21</v>
      </c>
      <c r="B9" t="s">
        <v>17</v>
      </c>
      <c r="C9" s="2" t="s">
        <v>9</v>
      </c>
      <c r="D9">
        <v>20</v>
      </c>
      <c r="E9">
        <v>0.42799999999999999</v>
      </c>
      <c r="F9">
        <f t="shared" si="0"/>
        <v>8.56</v>
      </c>
    </row>
    <row r="10" spans="1:9" x14ac:dyDescent="0.3">
      <c r="A10" t="s">
        <v>20</v>
      </c>
      <c r="B10" s="3">
        <v>61300311121</v>
      </c>
      <c r="C10" s="2" t="s">
        <v>9</v>
      </c>
      <c r="D10">
        <v>20</v>
      </c>
      <c r="E10">
        <v>9.1999999999999998E-2</v>
      </c>
      <c r="F10">
        <f t="shared" si="0"/>
        <v>1.8399999999999999</v>
      </c>
    </row>
    <row r="11" spans="1:9" x14ac:dyDescent="0.3">
      <c r="A11" t="s">
        <v>24</v>
      </c>
      <c r="B11" t="s">
        <v>25</v>
      </c>
      <c r="C11" s="2" t="s">
        <v>9</v>
      </c>
      <c r="D11">
        <v>6</v>
      </c>
      <c r="E11">
        <v>1.1200000000000001</v>
      </c>
      <c r="F11">
        <f t="shared" si="0"/>
        <v>6.7200000000000006</v>
      </c>
    </row>
    <row r="12" spans="1:9" x14ac:dyDescent="0.3">
      <c r="F12">
        <f t="shared" si="0"/>
        <v>0</v>
      </c>
    </row>
    <row r="13" spans="1:9" x14ac:dyDescent="0.3">
      <c r="F13">
        <f t="shared" si="0"/>
        <v>0</v>
      </c>
    </row>
    <row r="14" spans="1:9" x14ac:dyDescent="0.3">
      <c r="F14">
        <f t="shared" si="0"/>
        <v>0</v>
      </c>
    </row>
    <row r="15" spans="1:9" x14ac:dyDescent="0.3">
      <c r="F15">
        <f t="shared" si="0"/>
        <v>0</v>
      </c>
    </row>
    <row r="16" spans="1:9" x14ac:dyDescent="0.3">
      <c r="F16">
        <f t="shared" si="0"/>
        <v>0</v>
      </c>
    </row>
    <row r="17" spans="6:6" x14ac:dyDescent="0.3">
      <c r="F17">
        <f t="shared" si="0"/>
        <v>0</v>
      </c>
    </row>
    <row r="18" spans="6:6" x14ac:dyDescent="0.3">
      <c r="F18">
        <f t="shared" si="0"/>
        <v>0</v>
      </c>
    </row>
    <row r="19" spans="6:6" x14ac:dyDescent="0.3">
      <c r="F19">
        <f t="shared" si="0"/>
        <v>0</v>
      </c>
    </row>
    <row r="20" spans="6:6" x14ac:dyDescent="0.3">
      <c r="F20">
        <f t="shared" si="0"/>
        <v>0</v>
      </c>
    </row>
    <row r="21" spans="6:6" x14ac:dyDescent="0.3">
      <c r="F21">
        <f t="shared" si="0"/>
        <v>0</v>
      </c>
    </row>
    <row r="22" spans="6:6" x14ac:dyDescent="0.3">
      <c r="F22">
        <f t="shared" si="0"/>
        <v>0</v>
      </c>
    </row>
    <row r="23" spans="6:6" x14ac:dyDescent="0.3">
      <c r="F23">
        <f t="shared" si="0"/>
        <v>0</v>
      </c>
    </row>
    <row r="24" spans="6:6" x14ac:dyDescent="0.3">
      <c r="F24">
        <f t="shared" si="0"/>
        <v>0</v>
      </c>
    </row>
    <row r="25" spans="6:6" x14ac:dyDescent="0.3">
      <c r="F25">
        <f t="shared" si="0"/>
        <v>0</v>
      </c>
    </row>
  </sheetData>
  <hyperlinks>
    <hyperlink ref="C2" r:id="rId1" display="www.digikey.ch" xr:uid="{DCB69177-7DE2-4518-8745-F12C9B0EEBC4}"/>
    <hyperlink ref="C3" r:id="rId2" xr:uid="{E295B861-E01B-4AC0-87DF-23339B761600}"/>
    <hyperlink ref="C4" r:id="rId3" xr:uid="{2F366F63-804C-4BAD-8E28-D4EB41805A54}"/>
    <hyperlink ref="C5" r:id="rId4" xr:uid="{62B8A1BB-8289-4D21-ACE3-0CF36B55E6C2}"/>
    <hyperlink ref="C6" r:id="rId5" xr:uid="{8B3F56DA-54E7-4B13-BDD7-FD1AEC103121}"/>
    <hyperlink ref="C7" r:id="rId6" xr:uid="{B6A9DD31-0896-4C3D-B1AE-C7B6860114B7}"/>
    <hyperlink ref="C8" r:id="rId7" xr:uid="{E92EEB16-5867-4002-A1B3-946972117BE4}"/>
    <hyperlink ref="C9" r:id="rId8" xr:uid="{54899D89-BD91-4FA9-9FD2-D1BB5215DBA9}"/>
    <hyperlink ref="C10" r:id="rId9" xr:uid="{61916ADA-88A9-4DA8-8FBA-4B153F5184FE}"/>
    <hyperlink ref="C11" r:id="rId10" xr:uid="{0BEA6359-3EE8-40D3-9F0E-C2A026EBB6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Morozov</dc:creator>
  <cp:lastModifiedBy>Vladimir Morozov</cp:lastModifiedBy>
  <dcterms:created xsi:type="dcterms:W3CDTF">2015-06-05T18:19:34Z</dcterms:created>
  <dcterms:modified xsi:type="dcterms:W3CDTF">2025-02-24T14:11:00Z</dcterms:modified>
</cp:coreProperties>
</file>